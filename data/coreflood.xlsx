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EOR ATLAS/"/>
    </mc:Choice>
  </mc:AlternateContent>
  <xr:revisionPtr revIDLastSave="64" documentId="8_{65B8B3C2-B1A8-46D9-BB1C-80807313085E}" xr6:coauthVersionLast="47" xr6:coauthVersionMax="47" xr10:uidLastSave="{B8543E6D-A96C-4901-B701-5448C1E164F7}"/>
  <bookViews>
    <workbookView xWindow="-110" yWindow="-110" windowWidth="19420" windowHeight="10300" xr2:uid="{8982CFF5-59FC-41DB-9696-6810504CE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0" i="1" l="1"/>
  <c r="AE19" i="1"/>
  <c r="AE18" i="1"/>
  <c r="AE17" i="1"/>
  <c r="AE16" i="1"/>
  <c r="AE15" i="1"/>
  <c r="AE14" i="1"/>
  <c r="AE13" i="1"/>
  <c r="AE12" i="1"/>
  <c r="AE11" i="1"/>
  <c r="AE10" i="1"/>
  <c r="AB10" i="1"/>
  <c r="H10" i="1"/>
  <c r="T10" i="1" s="1"/>
  <c r="C10" i="1"/>
  <c r="AE9" i="1"/>
  <c r="AB9" i="1"/>
  <c r="H9" i="1"/>
  <c r="C9" i="1"/>
  <c r="AE8" i="1"/>
  <c r="AB8" i="1"/>
  <c r="H8" i="1"/>
  <c r="C8" i="1"/>
  <c r="AE7" i="1"/>
  <c r="AB7" i="1"/>
  <c r="H7" i="1"/>
  <c r="T7" i="1" s="1"/>
  <c r="C7" i="1"/>
  <c r="T8" i="1" l="1"/>
  <c r="U9" i="1"/>
</calcChain>
</file>

<file path=xl/sharedStrings.xml><?xml version="1.0" encoding="utf-8"?>
<sst xmlns="http://schemas.openxmlformats.org/spreadsheetml/2006/main" count="136" uniqueCount="46">
  <si>
    <t>% Sor Reduction (SP) = Sorw- Sorp / Sorw</t>
  </si>
  <si>
    <t xml:space="preserve">Alkaline(A) Recovery </t>
  </si>
  <si>
    <t xml:space="preserve">Surfactant (S) Recovery </t>
  </si>
  <si>
    <t xml:space="preserve">Surfactant +Polymer (SP) Recovery </t>
  </si>
  <si>
    <t xml:space="preserve">Alkali +Surfactant +Polymer (ASP) Recovery </t>
  </si>
  <si>
    <t xml:space="preserve">Final Residual Oil Saturation </t>
  </si>
  <si>
    <t>NA</t>
  </si>
  <si>
    <t>LB-1_2013</t>
  </si>
  <si>
    <t>LB-2_2013</t>
  </si>
  <si>
    <t>LB-3_2013</t>
  </si>
  <si>
    <t>LB-4_2013</t>
  </si>
  <si>
    <t>LN-1_2013</t>
  </si>
  <si>
    <t>1L_2003</t>
  </si>
  <si>
    <t>2L_2003</t>
  </si>
  <si>
    <t>3L_2003</t>
  </si>
  <si>
    <t>4L_2003</t>
  </si>
  <si>
    <t>1R_2003</t>
  </si>
  <si>
    <t>2R_2003</t>
  </si>
  <si>
    <t>3R_2003</t>
  </si>
  <si>
    <t>4R_2003</t>
  </si>
  <si>
    <t>5R_2003</t>
  </si>
  <si>
    <t>6R_2003</t>
  </si>
  <si>
    <t>7R_2003</t>
  </si>
  <si>
    <t>8R_2003</t>
  </si>
  <si>
    <t>9R_2003</t>
  </si>
  <si>
    <t>10R_2003</t>
  </si>
  <si>
    <t xml:space="preserve">Initial Oil Saturation, Soi  (OOIP % PV) </t>
  </si>
  <si>
    <t>Initial Water  Saturation, Swi,% PV</t>
  </si>
  <si>
    <t xml:space="preserve">Water Flood Recovery, % OOIP </t>
  </si>
  <si>
    <t xml:space="preserve">Water Flood Recovery, % PV </t>
  </si>
  <si>
    <t>Residual Oil Saturation after WF , Sorw, % OOIP</t>
  </si>
  <si>
    <t>Residual Oil Saturation after WF , Sorw, % PV</t>
  </si>
  <si>
    <t xml:space="preserve">Alkaline- Surfactant (AS) Recovery, % OOIP </t>
  </si>
  <si>
    <t>Alkaline- Surfactant (AS) Recovery , % PV</t>
  </si>
  <si>
    <t>Residual Oil Saturation after AS , Sorc (AS), % OOIP</t>
  </si>
  <si>
    <t>Residual Oil Saturation after AS , Sorc (AS), % PV</t>
  </si>
  <si>
    <t>Recovery Factor (AS)= Soi-Sorc/Soi, %</t>
  </si>
  <si>
    <t>% Sor Reduction (AS) = Sorw- Sorc / Sorw, %</t>
  </si>
  <si>
    <t xml:space="preserve">Polymer (P) Recovery, % OOIP </t>
  </si>
  <si>
    <t xml:space="preserve">Polymer (P) Recovery, % PV </t>
  </si>
  <si>
    <t>Residual Oil Saturation after Polymer Recovery, Sorp (P), % OOIP</t>
  </si>
  <si>
    <t>Residual Oil Saturation after Polymer Recovery, Sorp (P), % PV</t>
  </si>
  <si>
    <t>Recovery Factor (AS,P)= Soi-Sorp/Soi, %</t>
  </si>
  <si>
    <t>% Sor Reduction (AS,P) = Sorw- Sorp / Sorw, %</t>
  </si>
  <si>
    <t>Core sample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</si>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</sst>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 wrapText="1"/>
    </xf>
    <xf numFmtId="0" fontId="2" fillId="10" borderId="1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0" fontId="1" fillId="8" borderId="7" xfId="0" applyFont="1" applyFill="1" applyBorder="1" applyAlignment="1">
      <alignment horizontal="center" wrapText="1"/>
    </xf>
    <xf numFmtId="0" fontId="2" fillId="11" borderId="16" xfId="0" applyFont="1" applyFill="1" applyBorder="1" applyAlignment="1">
      <alignment horizontal="center" wrapText="1"/>
    </xf>
    <xf numFmtId="0" fontId="2" fillId="10" borderId="16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8" borderId="10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8" borderId="5" xfId="0" applyFont="1" applyFill="1" applyBorder="1" applyAlignment="1">
      <alignment horizontal="center" wrapText="1"/>
    </xf>
    <xf numFmtId="0" fontId="2" fillId="10" borderId="17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9" borderId="4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2" fontId="1" fillId="6" borderId="11" xfId="0" applyNumberFormat="1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1" fillId="8" borderId="12" xfId="0" applyFont="1" applyFill="1" applyBorder="1" applyAlignment="1">
      <alignment horizontal="center" wrapText="1"/>
    </xf>
    <xf numFmtId="0" fontId="1" fillId="9" borderId="0" xfId="0" applyFont="1" applyFill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2" fontId="1" fillId="6" borderId="1" xfId="0" applyNumberFormat="1" applyFont="1" applyFill="1" applyBorder="1" applyAlignment="1">
      <alignment horizontal="center" wrapText="1"/>
    </xf>
    <xf numFmtId="0" fontId="1" fillId="8" borderId="13" xfId="0" applyFont="1" applyFill="1" applyBorder="1" applyAlignment="1">
      <alignment horizontal="center" wrapText="1"/>
    </xf>
    <xf numFmtId="0" fontId="1" fillId="9" borderId="9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2" fontId="1" fillId="6" borderId="8" xfId="0" applyNumberFormat="1" applyFont="1" applyFill="1" applyBorder="1" applyAlignment="1">
      <alignment horizontal="center" wrapText="1"/>
    </xf>
    <xf numFmtId="0" fontId="1" fillId="8" borderId="14" xfId="0" applyFont="1" applyFill="1" applyBorder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164" fontId="1" fillId="6" borderId="6" xfId="0" applyNumberFormat="1" applyFont="1" applyFill="1" applyBorder="1" applyAlignment="1">
      <alignment horizontal="center" wrapText="1"/>
    </xf>
    <xf numFmtId="164" fontId="1" fillId="3" borderId="6" xfId="0" applyNumberFormat="1" applyFont="1" applyFill="1" applyBorder="1" applyAlignment="1">
      <alignment horizontal="center" wrapText="1"/>
    </xf>
    <xf numFmtId="164" fontId="1" fillId="4" borderId="6" xfId="0" applyNumberFormat="1" applyFont="1" applyFill="1" applyBorder="1" applyAlignment="1">
      <alignment horizontal="center" wrapText="1"/>
    </xf>
    <xf numFmtId="164" fontId="1" fillId="7" borderId="0" xfId="0" applyNumberFormat="1" applyFont="1" applyFill="1" applyAlignment="1">
      <alignment horizontal="center" wrapText="1"/>
    </xf>
    <xf numFmtId="164" fontId="1" fillId="6" borderId="8" xfId="0" applyNumberFormat="1" applyFont="1" applyFill="1" applyBorder="1" applyAlignment="1">
      <alignment horizontal="center" wrapText="1"/>
    </xf>
    <xf numFmtId="164" fontId="1" fillId="3" borderId="8" xfId="0" applyNumberFormat="1" applyFont="1" applyFill="1" applyBorder="1" applyAlignment="1">
      <alignment horizontal="center" wrapText="1"/>
    </xf>
    <xf numFmtId="164" fontId="1" fillId="4" borderId="8" xfId="0" applyNumberFormat="1" applyFont="1" applyFill="1" applyBorder="1" applyAlignment="1">
      <alignment horizontal="center" wrapText="1"/>
    </xf>
    <xf numFmtId="164" fontId="1" fillId="6" borderId="3" xfId="0" applyNumberFormat="1" applyFont="1" applyFill="1" applyBorder="1" applyAlignment="1">
      <alignment horizontal="center" wrapText="1"/>
    </xf>
    <xf numFmtId="164" fontId="1" fillId="3" borderId="3" xfId="0" applyNumberFormat="1" applyFont="1" applyFill="1" applyBorder="1" applyAlignment="1">
      <alignment horizontal="center" wrapText="1"/>
    </xf>
    <xf numFmtId="164" fontId="1" fillId="4" borderId="3" xfId="0" applyNumberFormat="1" applyFont="1" applyFill="1" applyBorder="1" applyAlignment="1">
      <alignment horizontal="center" wrapText="1"/>
    </xf>
    <xf numFmtId="164" fontId="1" fillId="6" borderId="1" xfId="0" applyNumberFormat="1" applyFont="1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164" fontId="1" fillId="4" borderId="1" xfId="0" applyNumberFormat="1" applyFont="1" applyFill="1" applyBorder="1" applyAlignment="1">
      <alignment horizontal="center" wrapText="1"/>
    </xf>
    <xf numFmtId="164" fontId="1" fillId="6" borderId="11" xfId="0" applyNumberFormat="1" applyFont="1" applyFill="1" applyBorder="1" applyAlignment="1">
      <alignment horizontal="center" wrapText="1"/>
    </xf>
    <xf numFmtId="164" fontId="1" fillId="0" borderId="3" xfId="0" applyNumberFormat="1" applyFont="1" applyBorder="1" applyAlignment="1">
      <alignment horizontal="center" wrapText="1"/>
    </xf>
    <xf numFmtId="164" fontId="1" fillId="0" borderId="6" xfId="0" applyNumberFormat="1" applyFont="1" applyBorder="1" applyAlignment="1">
      <alignment horizontal="center" wrapText="1"/>
    </xf>
    <xf numFmtId="164" fontId="1" fillId="0" borderId="8" xfId="0" applyNumberFormat="1" applyFont="1" applyBorder="1" applyAlignment="1">
      <alignment horizontal="center"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theme="5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0.0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2C32407A-F970-45D4-BB18-371EAB0814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8934B-71B6-4782-9990-7FDC0CF47CCC}" name="Table1" displayName="Table1" ref="A1:U20" totalsRowShown="0" headerRowDxfId="22" dataDxfId="21">
  <autoFilter ref="A1:U20" xr:uid="{C458934B-71B6-4782-9990-7FDC0CF47CCC}"/>
  <tableColumns count="21">
    <tableColumn id="1" xr3:uid="{6D3AD676-EF70-41EE-AA4F-4DB8226DE3C2}" name="Core sample" dataDxfId="20"/>
    <tableColumn id="2" xr3:uid="{352934F2-2121-4D72-82FF-D19F70CA77AC}" name="Year" dataDxfId="19"/>
    <tableColumn id="3" xr3:uid="{F31D37A3-3E65-48A2-A9DF-E0B185CF1E50}" name="Initial Oil Saturation, Soi  (OOIP % PV) " dataDxfId="18"/>
    <tableColumn id="4" xr3:uid="{49AEDF46-E18A-4CD7-A546-A3BD425B09A9}" name="Initial Water  Saturation, Swi,% PV" dataDxfId="17"/>
    <tableColumn id="5" xr3:uid="{5C355DAD-85B6-4AB7-AB0E-0D5FB3E79356}" name="Water Flood Recovery, % OOIP " dataDxfId="16"/>
    <tableColumn id="6" xr3:uid="{65945224-C313-4623-881C-8B640E57985F}" name="Water Flood Recovery, % PV " dataDxfId="15"/>
    <tableColumn id="7" xr3:uid="{7C8E8A8A-0289-42DB-8705-DAEAF646AB45}" name="Residual Oil Saturation after WF , Sorw, % OOIP" dataDxfId="14"/>
    <tableColumn id="8" xr3:uid="{CAAA9118-6261-4B00-A566-0F976C3CD24E}" name="Residual Oil Saturation after WF , Sorw, % PV" dataDxfId="13"/>
    <tableColumn id="9" xr3:uid="{C7DED7EC-A2B7-4FBA-8EF0-A332521E8885}" name="Alkaline- Surfactant (AS) Recovery, % OOIP " dataDxfId="12"/>
    <tableColumn id="10" xr3:uid="{79B7DBBB-11F7-47E2-88D4-64B1BA264954}" name="Alkaline- Surfactant (AS) Recovery , % PV" dataDxfId="11"/>
    <tableColumn id="11" xr3:uid="{DE9BB360-5A4A-4BE2-ABA1-1079CA1EDDE5}" name="Residual Oil Saturation after AS , Sorc (AS), % OOIP" dataDxfId="10"/>
    <tableColumn id="12" xr3:uid="{1E6D7C1B-3D75-4648-8D66-D43F93727568}" name="Residual Oil Saturation after AS , Sorc (AS), % PV" dataDxfId="9"/>
    <tableColumn id="13" xr3:uid="{06B5C381-3166-4EF6-9078-234510355050}" name="Recovery Factor (AS)= Soi-Sorc/Soi, %" dataDxfId="8"/>
    <tableColumn id="14" xr3:uid="{84987B5D-7E13-41C3-A03D-309A39686C1D}" name="% Sor Reduction (AS) = Sorw- Sorc / Sorw, %" dataDxfId="7"/>
    <tableColumn id="15" xr3:uid="{95346136-5E0B-4E44-BB52-AD4096139BA5}" name="Polymer (P) Recovery, % OOIP " dataDxfId="6"/>
    <tableColumn id="16" xr3:uid="{5B2CBA1A-B55D-4BB0-8E5D-77CAE0FE44B2}" name="Polymer (P) Recovery, % PV " dataDxfId="5"/>
    <tableColumn id="17" xr3:uid="{1166E5F6-616A-45E3-8494-01535AB91ACA}" name="Residual Oil Saturation after Polymer Recovery, Sorp (P), % OOIP" dataDxfId="4"/>
    <tableColumn id="18" xr3:uid="{D6EF7608-520B-4FD9-BF9C-604EDC2A89CE}" name="Residual Oil Saturation after Polymer Recovery, Sorp (P), % PV" dataDxfId="3"/>
    <tableColumn id="19" xr3:uid="{E0FB3D5C-B559-4D15-94A5-E74CA311F641}" name="Recovery Factor (AS,P)= Soi-Sorp/Soi, %" dataDxfId="2"/>
    <tableColumn id="20" xr3:uid="{39CECA7E-6312-4E78-BE8E-67BBA63304B3}" name="% Sor Reduction (AS,P) = Sorw- Sorp / Sorw, %" dataDxfId="1"/>
    <tableColumn id="21" xr3:uid="{EFBFEDEA-F4B4-4217-A4E4-F0EE3F3D7489}" name="% Sor Reduction (SP) = Sorw- Sorp / Sorw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0EBF-0112-41D9-B25C-96340F4240F5}">
  <dimension ref="A1:AF20"/>
  <sheetViews>
    <sheetView tabSelected="1" workbookViewId="0">
      <selection activeCell="J11" sqref="J11:J20"/>
    </sheetView>
  </sheetViews>
  <sheetFormatPr defaultRowHeight="14" x14ac:dyDescent="0.3"/>
  <cols>
    <col min="1" max="2" width="14.4140625" style="2" customWidth="1"/>
    <col min="3" max="3" width="31.6640625" style="2" customWidth="1"/>
    <col min="4" max="4" width="28.08203125" style="2" customWidth="1"/>
    <col min="5" max="5" width="26.83203125" style="2" customWidth="1"/>
    <col min="6" max="6" width="24.75" style="2" customWidth="1"/>
    <col min="7" max="7" width="38.83203125" style="2" customWidth="1"/>
    <col min="8" max="8" width="36.75" style="2" customWidth="1"/>
    <col min="9" max="9" width="45.4140625" style="2" customWidth="1"/>
    <col min="10" max="10" width="33.6640625" style="2" customWidth="1"/>
    <col min="11" max="11" width="41.83203125" style="2" customWidth="1"/>
    <col min="12" max="12" width="39.75" style="2" customWidth="1"/>
    <col min="13" max="13" width="31.75" style="2" customWidth="1"/>
    <col min="14" max="14" width="36.9140625" style="2" customWidth="1"/>
    <col min="15" max="15" width="26.5" style="2" customWidth="1"/>
    <col min="16" max="16" width="24.4140625" style="2" customWidth="1"/>
    <col min="17" max="18" width="42.83203125" style="2" customWidth="1"/>
    <col min="19" max="19" width="33.4140625" style="2" customWidth="1"/>
    <col min="20" max="20" width="38.58203125" style="2" customWidth="1"/>
    <col min="21" max="21" width="34.5" style="2" customWidth="1"/>
    <col min="22" max="31" width="0" style="2" hidden="1" customWidth="1"/>
    <col min="32" max="32" width="8.83203125" style="1"/>
  </cols>
  <sheetData>
    <row r="1" spans="1:31" ht="76" thickBot="1" x14ac:dyDescent="0.35">
      <c r="A1" s="2" t="s">
        <v>44</v>
      </c>
      <c r="B1" s="54" t="s">
        <v>45</v>
      </c>
      <c r="C1" s="3" t="s">
        <v>26</v>
      </c>
      <c r="D1" s="3" t="s">
        <v>27</v>
      </c>
      <c r="E1" s="4" t="s">
        <v>28</v>
      </c>
      <c r="F1" s="4" t="s">
        <v>29</v>
      </c>
      <c r="G1" s="5" t="s">
        <v>30</v>
      </c>
      <c r="H1" s="5" t="s">
        <v>31</v>
      </c>
      <c r="I1" s="4" t="s">
        <v>32</v>
      </c>
      <c r="J1" s="4" t="s">
        <v>33</v>
      </c>
      <c r="K1" s="6" t="s">
        <v>34</v>
      </c>
      <c r="L1" s="6" t="s">
        <v>35</v>
      </c>
      <c r="M1" s="7" t="s">
        <v>36</v>
      </c>
      <c r="N1" s="7" t="s">
        <v>37</v>
      </c>
      <c r="O1" s="4" t="s">
        <v>38</v>
      </c>
      <c r="P1" s="4" t="s">
        <v>39</v>
      </c>
      <c r="Q1" s="5" t="s">
        <v>40</v>
      </c>
      <c r="R1" s="5" t="s">
        <v>41</v>
      </c>
      <c r="S1" s="7" t="s">
        <v>42</v>
      </c>
      <c r="T1" s="7" t="s">
        <v>43</v>
      </c>
      <c r="U1" s="8" t="s">
        <v>0</v>
      </c>
      <c r="W1" s="4" t="s">
        <v>1</v>
      </c>
      <c r="X1" s="4" t="s">
        <v>1</v>
      </c>
      <c r="Y1" s="5" t="s">
        <v>2</v>
      </c>
      <c r="Z1" s="5" t="s">
        <v>2</v>
      </c>
      <c r="AA1" s="4" t="s">
        <v>3</v>
      </c>
      <c r="AB1" s="4" t="s">
        <v>3</v>
      </c>
      <c r="AC1" s="5" t="s">
        <v>4</v>
      </c>
      <c r="AD1" s="5" t="s">
        <v>4</v>
      </c>
      <c r="AE1" s="9" t="s">
        <v>5</v>
      </c>
    </row>
    <row r="2" spans="1:31" ht="14.5" thickBot="1" x14ac:dyDescent="0.35">
      <c r="A2" s="10" t="s">
        <v>7</v>
      </c>
      <c r="B2" s="54">
        <v>2013</v>
      </c>
      <c r="C2" s="11">
        <v>68</v>
      </c>
      <c r="D2" s="11">
        <v>32</v>
      </c>
      <c r="E2" s="12">
        <v>66.7</v>
      </c>
      <c r="F2" s="13">
        <v>45.3</v>
      </c>
      <c r="G2" s="14">
        <v>33.299999999999997</v>
      </c>
      <c r="H2" s="14">
        <v>22.7</v>
      </c>
      <c r="I2" s="13">
        <v>6.6</v>
      </c>
      <c r="J2" s="13">
        <v>4.5</v>
      </c>
      <c r="K2" s="15">
        <v>26.7</v>
      </c>
      <c r="L2" s="15">
        <v>18.2</v>
      </c>
      <c r="M2" s="16">
        <v>73</v>
      </c>
      <c r="N2" s="55">
        <v>20</v>
      </c>
      <c r="O2" s="56">
        <v>7.3</v>
      </c>
      <c r="P2" s="56">
        <v>5</v>
      </c>
      <c r="Q2" s="57">
        <v>19.399999999999999</v>
      </c>
      <c r="R2" s="57">
        <v>13.2</v>
      </c>
      <c r="S2" s="55">
        <v>81</v>
      </c>
      <c r="T2" s="55">
        <v>42</v>
      </c>
      <c r="U2" s="58">
        <v>0</v>
      </c>
      <c r="W2" s="13">
        <v>0</v>
      </c>
      <c r="X2" s="13">
        <v>0</v>
      </c>
      <c r="Y2" s="14">
        <v>0</v>
      </c>
      <c r="Z2" s="14">
        <v>0</v>
      </c>
      <c r="AA2" s="13">
        <v>0</v>
      </c>
      <c r="AB2" s="13">
        <v>0</v>
      </c>
      <c r="AC2" s="14"/>
      <c r="AD2" s="14"/>
      <c r="AE2" s="17"/>
    </row>
    <row r="3" spans="1:31" ht="14.5" thickBot="1" x14ac:dyDescent="0.35">
      <c r="A3" s="18" t="s">
        <v>8</v>
      </c>
      <c r="B3" s="54">
        <v>2013</v>
      </c>
      <c r="C3" s="11">
        <v>58.6</v>
      </c>
      <c r="D3" s="11">
        <v>41.4</v>
      </c>
      <c r="E3" s="12">
        <v>51.3</v>
      </c>
      <c r="F3" s="13">
        <v>30.1</v>
      </c>
      <c r="G3" s="14">
        <v>48.7</v>
      </c>
      <c r="H3" s="14">
        <v>28.5</v>
      </c>
      <c r="I3" s="13">
        <v>20.3</v>
      </c>
      <c r="J3" s="13">
        <v>11.9</v>
      </c>
      <c r="K3" s="15">
        <v>28.3</v>
      </c>
      <c r="L3" s="15">
        <v>16.600000000000001</v>
      </c>
      <c r="M3" s="16">
        <v>72</v>
      </c>
      <c r="N3" s="55">
        <v>42</v>
      </c>
      <c r="O3" s="56">
        <v>3.7</v>
      </c>
      <c r="P3" s="56">
        <v>2.2000000000000002</v>
      </c>
      <c r="Q3" s="57">
        <v>24.6</v>
      </c>
      <c r="R3" s="57">
        <v>14.4</v>
      </c>
      <c r="S3" s="55">
        <v>75</v>
      </c>
      <c r="T3" s="55">
        <v>49</v>
      </c>
      <c r="U3" s="58">
        <v>0</v>
      </c>
      <c r="W3" s="13">
        <v>0</v>
      </c>
      <c r="X3" s="13">
        <v>0</v>
      </c>
      <c r="Y3" s="14">
        <v>0</v>
      </c>
      <c r="Z3" s="14">
        <v>0</v>
      </c>
      <c r="AA3" s="13">
        <v>0</v>
      </c>
      <c r="AB3" s="13">
        <v>0</v>
      </c>
      <c r="AC3" s="14"/>
      <c r="AD3" s="14"/>
      <c r="AE3" s="17"/>
    </row>
    <row r="4" spans="1:31" ht="14.5" thickBot="1" x14ac:dyDescent="0.35">
      <c r="A4" s="19" t="s">
        <v>9</v>
      </c>
      <c r="B4" s="54">
        <v>2013</v>
      </c>
      <c r="C4" s="11">
        <v>68.900000000000006</v>
      </c>
      <c r="D4" s="11">
        <v>31.1</v>
      </c>
      <c r="E4" s="12">
        <v>50.9</v>
      </c>
      <c r="F4" s="13">
        <v>35</v>
      </c>
      <c r="G4" s="14">
        <v>49.1</v>
      </c>
      <c r="H4" s="14">
        <v>33.799999999999997</v>
      </c>
      <c r="I4" s="13">
        <v>12.8</v>
      </c>
      <c r="J4" s="13">
        <v>8.8000000000000007</v>
      </c>
      <c r="K4" s="15">
        <v>36.299999999999997</v>
      </c>
      <c r="L4" s="15">
        <v>25</v>
      </c>
      <c r="M4" s="16">
        <v>64</v>
      </c>
      <c r="N4" s="55">
        <v>26</v>
      </c>
      <c r="O4" s="56">
        <v>2.7</v>
      </c>
      <c r="P4" s="56">
        <v>1.8</v>
      </c>
      <c r="Q4" s="57">
        <v>33.6</v>
      </c>
      <c r="R4" s="57">
        <v>23.2</v>
      </c>
      <c r="S4" s="55">
        <v>66</v>
      </c>
      <c r="T4" s="55">
        <v>32</v>
      </c>
      <c r="U4" s="58">
        <v>0</v>
      </c>
      <c r="W4" s="13">
        <v>0</v>
      </c>
      <c r="X4" s="13">
        <v>0</v>
      </c>
      <c r="Y4" s="14">
        <v>0</v>
      </c>
      <c r="Z4" s="14">
        <v>0</v>
      </c>
      <c r="AA4" s="13">
        <v>0</v>
      </c>
      <c r="AB4" s="13">
        <v>0</v>
      </c>
      <c r="AC4" s="14"/>
      <c r="AD4" s="14"/>
      <c r="AE4" s="17"/>
    </row>
    <row r="5" spans="1:31" ht="14.5" thickBot="1" x14ac:dyDescent="0.35">
      <c r="A5" s="18" t="s">
        <v>10</v>
      </c>
      <c r="B5" s="54">
        <v>2013</v>
      </c>
      <c r="C5" s="11">
        <v>66.599999999999994</v>
      </c>
      <c r="D5" s="11">
        <v>33.4</v>
      </c>
      <c r="E5" s="12">
        <v>42</v>
      </c>
      <c r="F5" s="13">
        <v>28</v>
      </c>
      <c r="G5" s="14">
        <v>58</v>
      </c>
      <c r="H5" s="14">
        <v>38.700000000000003</v>
      </c>
      <c r="I5" s="13">
        <v>17.399999999999999</v>
      </c>
      <c r="J5" s="13">
        <v>11.6</v>
      </c>
      <c r="K5" s="15">
        <v>40.6</v>
      </c>
      <c r="L5" s="15">
        <v>27.1</v>
      </c>
      <c r="M5" s="16">
        <v>59</v>
      </c>
      <c r="N5" s="55">
        <v>30</v>
      </c>
      <c r="O5" s="56">
        <v>12.9</v>
      </c>
      <c r="P5" s="56">
        <v>8.6</v>
      </c>
      <c r="Q5" s="57">
        <v>27.7</v>
      </c>
      <c r="R5" s="57">
        <v>18.399999999999999</v>
      </c>
      <c r="S5" s="55">
        <v>72</v>
      </c>
      <c r="T5" s="55">
        <v>52</v>
      </c>
      <c r="U5" s="58">
        <v>0</v>
      </c>
      <c r="W5" s="13">
        <v>0</v>
      </c>
      <c r="X5" s="13">
        <v>0</v>
      </c>
      <c r="Y5" s="14">
        <v>0</v>
      </c>
      <c r="Z5" s="14">
        <v>0</v>
      </c>
      <c r="AA5" s="13">
        <v>0</v>
      </c>
      <c r="AB5" s="13">
        <v>0</v>
      </c>
      <c r="AC5" s="14"/>
      <c r="AD5" s="14"/>
      <c r="AE5" s="17"/>
    </row>
    <row r="6" spans="1:31" ht="14.5" thickBot="1" x14ac:dyDescent="0.35">
      <c r="A6" s="19" t="s">
        <v>11</v>
      </c>
      <c r="B6" s="54">
        <v>2013</v>
      </c>
      <c r="C6" s="20">
        <v>59.7</v>
      </c>
      <c r="D6" s="20">
        <v>40.299999999999997</v>
      </c>
      <c r="E6" s="21">
        <v>56.2</v>
      </c>
      <c r="F6" s="22">
        <v>33.5</v>
      </c>
      <c r="G6" s="23">
        <v>43.8</v>
      </c>
      <c r="H6" s="23">
        <v>26.2</v>
      </c>
      <c r="I6" s="22">
        <v>12.8</v>
      </c>
      <c r="J6" s="22">
        <v>7.6</v>
      </c>
      <c r="K6" s="24">
        <v>31</v>
      </c>
      <c r="L6" s="24">
        <v>18.5</v>
      </c>
      <c r="M6" s="25">
        <v>69</v>
      </c>
      <c r="N6" s="59">
        <v>29</v>
      </c>
      <c r="O6" s="60">
        <v>1.5</v>
      </c>
      <c r="P6" s="60">
        <v>0.9</v>
      </c>
      <c r="Q6" s="61">
        <v>29.6</v>
      </c>
      <c r="R6" s="61">
        <v>17.600000000000001</v>
      </c>
      <c r="S6" s="59">
        <v>70</v>
      </c>
      <c r="T6" s="59">
        <v>33</v>
      </c>
      <c r="U6" s="58">
        <v>0</v>
      </c>
      <c r="V6" s="26"/>
      <c r="W6" s="22">
        <v>0</v>
      </c>
      <c r="X6" s="22">
        <v>0</v>
      </c>
      <c r="Y6" s="23">
        <v>0</v>
      </c>
      <c r="Z6" s="23">
        <v>0</v>
      </c>
      <c r="AA6" s="22">
        <v>0</v>
      </c>
      <c r="AB6" s="22">
        <v>0</v>
      </c>
      <c r="AC6" s="23"/>
      <c r="AD6" s="23"/>
      <c r="AE6" s="27"/>
    </row>
    <row r="7" spans="1:31" ht="14.5" thickBot="1" x14ac:dyDescent="0.35">
      <c r="A7" s="10" t="s">
        <v>12</v>
      </c>
      <c r="B7" s="54">
        <v>2003</v>
      </c>
      <c r="C7" s="20">
        <f>0.776*100</f>
        <v>77.600000000000009</v>
      </c>
      <c r="D7" s="20"/>
      <c r="E7" s="28">
        <v>35.200000000000003</v>
      </c>
      <c r="F7" s="29">
        <v>27</v>
      </c>
      <c r="G7" s="30" t="s">
        <v>6</v>
      </c>
      <c r="H7" s="30">
        <f>0.352*100</f>
        <v>35.199999999999996</v>
      </c>
      <c r="I7" s="29">
        <v>0</v>
      </c>
      <c r="J7" s="29">
        <v>0</v>
      </c>
      <c r="K7" s="31"/>
      <c r="L7" s="31"/>
      <c r="M7" s="32"/>
      <c r="N7" s="62">
        <v>0</v>
      </c>
      <c r="O7" s="63">
        <v>0</v>
      </c>
      <c r="P7" s="63">
        <v>0</v>
      </c>
      <c r="Q7" s="64"/>
      <c r="R7" s="64"/>
      <c r="S7" s="62"/>
      <c r="T7" s="62">
        <f>H7-AE7</f>
        <v>3.5999999999999943</v>
      </c>
      <c r="U7" s="58">
        <v>0</v>
      </c>
      <c r="V7" s="33"/>
      <c r="W7" s="28">
        <v>3.8</v>
      </c>
      <c r="X7" s="28">
        <v>2.9000000000000004</v>
      </c>
      <c r="Y7" s="30">
        <v>0.1</v>
      </c>
      <c r="Z7" s="30">
        <v>0.1</v>
      </c>
      <c r="AA7" s="29">
        <v>0.8</v>
      </c>
      <c r="AB7" s="29">
        <f>0.006*100</f>
        <v>0.6</v>
      </c>
      <c r="AC7" s="30"/>
      <c r="AD7" s="30"/>
      <c r="AE7" s="34">
        <f>0.316*100</f>
        <v>31.6</v>
      </c>
    </row>
    <row r="8" spans="1:31" ht="14.5" thickBot="1" x14ac:dyDescent="0.35">
      <c r="A8" s="19" t="s">
        <v>13</v>
      </c>
      <c r="B8" s="54">
        <v>2003</v>
      </c>
      <c r="C8" s="20">
        <f>0.889*100</f>
        <v>88.9</v>
      </c>
      <c r="D8" s="20"/>
      <c r="E8" s="12">
        <v>53</v>
      </c>
      <c r="F8" s="13">
        <v>47.099999999999994</v>
      </c>
      <c r="G8" s="30" t="s">
        <v>6</v>
      </c>
      <c r="H8" s="14">
        <f>0.359*100</f>
        <v>35.9</v>
      </c>
      <c r="I8" s="13">
        <v>0</v>
      </c>
      <c r="J8" s="13">
        <v>0</v>
      </c>
      <c r="K8" s="15"/>
      <c r="L8" s="15"/>
      <c r="M8" s="16"/>
      <c r="N8" s="55">
        <v>0</v>
      </c>
      <c r="O8" s="56">
        <v>0</v>
      </c>
      <c r="P8" s="56">
        <v>0</v>
      </c>
      <c r="Q8" s="57"/>
      <c r="R8" s="57"/>
      <c r="S8" s="55"/>
      <c r="T8" s="62">
        <f>H8-AE8</f>
        <v>20.6</v>
      </c>
      <c r="U8" s="58">
        <v>0</v>
      </c>
      <c r="W8" s="12">
        <v>3.4</v>
      </c>
      <c r="X8" s="12">
        <v>3</v>
      </c>
      <c r="Y8" s="14">
        <v>6</v>
      </c>
      <c r="Z8" s="14">
        <v>5.3</v>
      </c>
      <c r="AA8" s="13">
        <v>13.8</v>
      </c>
      <c r="AB8" s="13">
        <f>0.123*100</f>
        <v>12.3</v>
      </c>
      <c r="AC8" s="14"/>
      <c r="AD8" s="14"/>
      <c r="AE8" s="17">
        <f>0.153*100</f>
        <v>15.299999999999999</v>
      </c>
    </row>
    <row r="9" spans="1:31" ht="14.5" thickBot="1" x14ac:dyDescent="0.35">
      <c r="A9" s="19" t="s">
        <v>14</v>
      </c>
      <c r="B9" s="54">
        <v>2003</v>
      </c>
      <c r="C9" s="20">
        <f>0.785*100</f>
        <v>78.5</v>
      </c>
      <c r="D9" s="20"/>
      <c r="E9" s="12">
        <v>47.1</v>
      </c>
      <c r="F9" s="13">
        <v>37</v>
      </c>
      <c r="G9" s="30" t="s">
        <v>6</v>
      </c>
      <c r="H9" s="14">
        <f>0.415*100</f>
        <v>41.5</v>
      </c>
      <c r="I9" s="13">
        <v>0</v>
      </c>
      <c r="J9" s="13">
        <v>0</v>
      </c>
      <c r="K9" s="15"/>
      <c r="L9" s="15"/>
      <c r="M9" s="16"/>
      <c r="N9" s="55">
        <v>0</v>
      </c>
      <c r="O9" s="56">
        <v>0</v>
      </c>
      <c r="P9" s="56">
        <v>0</v>
      </c>
      <c r="Q9" s="57"/>
      <c r="R9" s="57"/>
      <c r="S9" s="55"/>
      <c r="T9" s="62">
        <v>0</v>
      </c>
      <c r="U9" s="58">
        <f>H9-AE9</f>
        <v>9.8000000000000007</v>
      </c>
      <c r="W9" s="12"/>
      <c r="X9" s="12"/>
      <c r="Y9" s="14">
        <v>0</v>
      </c>
      <c r="Z9" s="14">
        <v>0</v>
      </c>
      <c r="AA9" s="13">
        <v>12.5</v>
      </c>
      <c r="AB9" s="13">
        <f>0.098*100</f>
        <v>9.8000000000000007</v>
      </c>
      <c r="AC9" s="14"/>
      <c r="AD9" s="14"/>
      <c r="AE9" s="17">
        <f>0.317*100</f>
        <v>31.7</v>
      </c>
    </row>
    <row r="10" spans="1:31" ht="14.5" thickBot="1" x14ac:dyDescent="0.35">
      <c r="A10" s="35" t="s">
        <v>15</v>
      </c>
      <c r="B10" s="54">
        <v>2003</v>
      </c>
      <c r="C10" s="3">
        <f>0.761*100</f>
        <v>76.099999999999994</v>
      </c>
      <c r="D10" s="3"/>
      <c r="E10" s="36">
        <v>42.7</v>
      </c>
      <c r="F10" s="4">
        <v>32.5</v>
      </c>
      <c r="G10" s="30" t="s">
        <v>6</v>
      </c>
      <c r="H10" s="5">
        <f>0.435*100</f>
        <v>43.5</v>
      </c>
      <c r="I10" s="4">
        <v>0</v>
      </c>
      <c r="J10" s="4">
        <v>0</v>
      </c>
      <c r="K10" s="6"/>
      <c r="L10" s="6"/>
      <c r="M10" s="7"/>
      <c r="N10" s="65">
        <v>0</v>
      </c>
      <c r="O10" s="66">
        <v>0</v>
      </c>
      <c r="P10" s="66">
        <v>0</v>
      </c>
      <c r="Q10" s="67"/>
      <c r="R10" s="67"/>
      <c r="S10" s="65"/>
      <c r="T10" s="68">
        <f>H10-AE10</f>
        <v>14.100000000000001</v>
      </c>
      <c r="U10" s="58">
        <v>0</v>
      </c>
      <c r="W10" s="36">
        <v>9.6</v>
      </c>
      <c r="X10" s="36">
        <v>7.3</v>
      </c>
      <c r="Y10" s="5">
        <v>6.8</v>
      </c>
      <c r="Z10" s="5">
        <v>5.2</v>
      </c>
      <c r="AA10" s="4">
        <v>2.1</v>
      </c>
      <c r="AB10" s="4">
        <f>0.016*100</f>
        <v>1.6</v>
      </c>
      <c r="AC10" s="5"/>
      <c r="AD10" s="5"/>
      <c r="AE10" s="17">
        <f>0.294*100</f>
        <v>29.4</v>
      </c>
    </row>
    <row r="11" spans="1:31" ht="14.5" thickBot="1" x14ac:dyDescent="0.35">
      <c r="A11" s="19" t="s">
        <v>16</v>
      </c>
      <c r="B11" s="54">
        <v>2003</v>
      </c>
      <c r="C11" s="37">
        <v>72.099999999999994</v>
      </c>
      <c r="D11" s="37"/>
      <c r="E11" s="28">
        <v>30.1</v>
      </c>
      <c r="F11" s="29">
        <v>21.7</v>
      </c>
      <c r="G11" s="30" t="s">
        <v>6</v>
      </c>
      <c r="H11" s="30">
        <v>50.4</v>
      </c>
      <c r="I11" s="33">
        <v>0</v>
      </c>
      <c r="J11" s="33" t="s">
        <v>6</v>
      </c>
      <c r="K11" s="38"/>
      <c r="L11" s="38"/>
      <c r="M11" s="39"/>
      <c r="N11" s="68">
        <v>0.79365079365079083</v>
      </c>
      <c r="O11" s="69"/>
      <c r="P11" s="69"/>
      <c r="Q11" s="69"/>
      <c r="R11" s="69"/>
      <c r="S11" s="62"/>
      <c r="T11" s="62">
        <v>0</v>
      </c>
      <c r="U11" s="58">
        <v>0</v>
      </c>
      <c r="V11" s="38"/>
      <c r="W11" s="40" t="s">
        <v>6</v>
      </c>
      <c r="X11" s="40" t="s">
        <v>6</v>
      </c>
      <c r="Y11" s="41">
        <v>0.1</v>
      </c>
      <c r="Z11" s="41" t="s">
        <v>6</v>
      </c>
      <c r="AA11" s="42" t="s">
        <v>6</v>
      </c>
      <c r="AB11" s="42" t="s">
        <v>6</v>
      </c>
      <c r="AC11" s="30"/>
      <c r="AD11" s="30"/>
      <c r="AE11" s="43">
        <f t="shared" ref="AE11:AE20" si="0">AG11*100</f>
        <v>0</v>
      </c>
    </row>
    <row r="12" spans="1:31" ht="14.5" thickBot="1" x14ac:dyDescent="0.35">
      <c r="A12" s="19" t="s">
        <v>17</v>
      </c>
      <c r="B12" s="54">
        <v>2003</v>
      </c>
      <c r="C12" s="44">
        <v>67.2</v>
      </c>
      <c r="D12" s="44"/>
      <c r="E12" s="12">
        <v>34.1</v>
      </c>
      <c r="F12" s="13">
        <v>22.9</v>
      </c>
      <c r="G12" s="30" t="s">
        <v>6</v>
      </c>
      <c r="H12" s="14">
        <v>44.3</v>
      </c>
      <c r="I12" s="36">
        <v>8.8000000000000007</v>
      </c>
      <c r="J12" s="33" t="s">
        <v>6</v>
      </c>
      <c r="K12" s="46"/>
      <c r="L12" s="46"/>
      <c r="M12" s="47"/>
      <c r="N12" s="65">
        <v>19.187358916478555</v>
      </c>
      <c r="O12" s="70"/>
      <c r="P12" s="70"/>
      <c r="Q12" s="70"/>
      <c r="R12" s="70"/>
      <c r="S12" s="55"/>
      <c r="T12" s="62">
        <v>0</v>
      </c>
      <c r="U12" s="58">
        <v>0</v>
      </c>
      <c r="V12" s="46"/>
      <c r="W12" s="36" t="s">
        <v>6</v>
      </c>
      <c r="X12" s="36" t="s">
        <v>6</v>
      </c>
      <c r="Y12" s="5" t="s">
        <v>6</v>
      </c>
      <c r="Z12" s="5" t="s">
        <v>6</v>
      </c>
      <c r="AA12" s="4" t="s">
        <v>6</v>
      </c>
      <c r="AB12" s="4" t="s">
        <v>6</v>
      </c>
      <c r="AC12" s="14"/>
      <c r="AD12" s="14"/>
      <c r="AE12" s="48">
        <f t="shared" si="0"/>
        <v>0</v>
      </c>
    </row>
    <row r="13" spans="1:31" ht="14.5" thickBot="1" x14ac:dyDescent="0.35">
      <c r="A13" s="19" t="s">
        <v>18</v>
      </c>
      <c r="B13" s="54">
        <v>2003</v>
      </c>
      <c r="C13" s="44">
        <v>74.7</v>
      </c>
      <c r="D13" s="44"/>
      <c r="E13" s="12">
        <v>13.4</v>
      </c>
      <c r="F13" s="13">
        <v>10</v>
      </c>
      <c r="G13" s="30" t="s">
        <v>6</v>
      </c>
      <c r="H13" s="14">
        <v>64.599999999999994</v>
      </c>
      <c r="I13" s="2">
        <v>0</v>
      </c>
      <c r="J13" s="33" t="s">
        <v>6</v>
      </c>
      <c r="K13" s="46"/>
      <c r="L13" s="46"/>
      <c r="M13" s="47"/>
      <c r="N13" s="65">
        <v>0</v>
      </c>
      <c r="O13" s="70"/>
      <c r="P13" s="70"/>
      <c r="Q13" s="70"/>
      <c r="R13" s="70"/>
      <c r="S13" s="55"/>
      <c r="T13" s="62">
        <v>0</v>
      </c>
      <c r="U13" s="58">
        <v>5.7275541795665577</v>
      </c>
      <c r="V13" s="46"/>
      <c r="W13" s="36" t="s">
        <v>6</v>
      </c>
      <c r="X13" s="36" t="s">
        <v>6</v>
      </c>
      <c r="Y13" s="5" t="s">
        <v>6</v>
      </c>
      <c r="Z13" s="5" t="s">
        <v>6</v>
      </c>
      <c r="AA13" s="4">
        <v>4.8</v>
      </c>
      <c r="AB13" s="4" t="s">
        <v>6</v>
      </c>
      <c r="AC13" s="14"/>
      <c r="AD13" s="14"/>
      <c r="AE13" s="48">
        <f t="shared" si="0"/>
        <v>0</v>
      </c>
    </row>
    <row r="14" spans="1:31" ht="14.5" thickBot="1" x14ac:dyDescent="0.35">
      <c r="A14" s="19" t="s">
        <v>19</v>
      </c>
      <c r="B14" s="54">
        <v>2003</v>
      </c>
      <c r="C14" s="44">
        <v>69.2</v>
      </c>
      <c r="D14" s="44"/>
      <c r="E14" s="12">
        <v>22.4</v>
      </c>
      <c r="F14" s="13">
        <v>15.5</v>
      </c>
      <c r="G14" s="30" t="s">
        <v>6</v>
      </c>
      <c r="H14" s="14">
        <v>53.7</v>
      </c>
      <c r="I14" s="2">
        <v>0</v>
      </c>
      <c r="J14" s="33" t="s">
        <v>6</v>
      </c>
      <c r="K14" s="46"/>
      <c r="L14" s="46"/>
      <c r="M14" s="47"/>
      <c r="N14" s="65">
        <v>0</v>
      </c>
      <c r="O14" s="70"/>
      <c r="P14" s="70"/>
      <c r="Q14" s="70"/>
      <c r="R14" s="70"/>
      <c r="S14" s="55"/>
      <c r="T14" s="62">
        <v>0</v>
      </c>
      <c r="U14" s="58">
        <v>25.884543761638728</v>
      </c>
      <c r="V14" s="46"/>
      <c r="W14" s="36" t="s">
        <v>6</v>
      </c>
      <c r="X14" s="36" t="s">
        <v>6</v>
      </c>
      <c r="Y14" s="5" t="s">
        <v>6</v>
      </c>
      <c r="Z14" s="5" t="s">
        <v>6</v>
      </c>
      <c r="AA14" s="4" t="s">
        <v>6</v>
      </c>
      <c r="AB14" s="4" t="s">
        <v>6</v>
      </c>
      <c r="AC14" s="14">
        <v>20.9</v>
      </c>
      <c r="AD14" s="14" t="s">
        <v>6</v>
      </c>
      <c r="AE14" s="48">
        <f t="shared" si="0"/>
        <v>0</v>
      </c>
    </row>
    <row r="15" spans="1:31" ht="14.5" thickBot="1" x14ac:dyDescent="0.35">
      <c r="A15" s="19" t="s">
        <v>20</v>
      </c>
      <c r="B15" s="54">
        <v>2003</v>
      </c>
      <c r="C15" s="44">
        <v>69.099999999999994</v>
      </c>
      <c r="D15" s="44"/>
      <c r="E15" s="12">
        <v>37</v>
      </c>
      <c r="F15" s="13">
        <v>25.5</v>
      </c>
      <c r="G15" s="30" t="s">
        <v>6</v>
      </c>
      <c r="H15" s="14">
        <v>43.6</v>
      </c>
      <c r="I15" s="2">
        <v>0</v>
      </c>
      <c r="J15" s="33" t="s">
        <v>6</v>
      </c>
      <c r="K15" s="46"/>
      <c r="L15" s="46"/>
      <c r="M15" s="47"/>
      <c r="N15" s="65">
        <v>0</v>
      </c>
      <c r="O15" s="70"/>
      <c r="P15" s="70"/>
      <c r="Q15" s="70"/>
      <c r="R15" s="70"/>
      <c r="S15" s="55"/>
      <c r="T15" s="62">
        <v>52.293577981651374</v>
      </c>
      <c r="U15" s="58">
        <v>0</v>
      </c>
      <c r="V15" s="46"/>
      <c r="W15" s="36" t="s">
        <v>6</v>
      </c>
      <c r="X15" s="36" t="s">
        <v>6</v>
      </c>
      <c r="Y15" s="5" t="s">
        <v>6</v>
      </c>
      <c r="Z15" s="5" t="s">
        <v>6</v>
      </c>
      <c r="AA15" s="4" t="s">
        <v>6</v>
      </c>
      <c r="AB15" s="4" t="s">
        <v>6</v>
      </c>
      <c r="AC15" s="14">
        <v>32.5</v>
      </c>
      <c r="AD15" s="14" t="s">
        <v>6</v>
      </c>
      <c r="AE15" s="48">
        <f t="shared" si="0"/>
        <v>0</v>
      </c>
    </row>
    <row r="16" spans="1:31" ht="14.5" thickBot="1" x14ac:dyDescent="0.35">
      <c r="A16" s="19" t="s">
        <v>21</v>
      </c>
      <c r="B16" s="54">
        <v>2003</v>
      </c>
      <c r="C16" s="44">
        <v>99</v>
      </c>
      <c r="D16" s="44"/>
      <c r="E16" s="12">
        <v>13.2</v>
      </c>
      <c r="F16" s="13">
        <v>13.1</v>
      </c>
      <c r="G16" s="30" t="s">
        <v>6</v>
      </c>
      <c r="H16" s="14">
        <v>85.9</v>
      </c>
      <c r="I16" s="45">
        <v>23.8</v>
      </c>
      <c r="J16" s="33" t="s">
        <v>6</v>
      </c>
      <c r="K16" s="46"/>
      <c r="L16" s="46"/>
      <c r="M16" s="47"/>
      <c r="N16" s="65">
        <v>33.527357392316659</v>
      </c>
      <c r="O16" s="70"/>
      <c r="P16" s="70"/>
      <c r="Q16" s="70"/>
      <c r="R16" s="70"/>
      <c r="S16" s="55"/>
      <c r="T16" s="62">
        <v>0</v>
      </c>
      <c r="U16" s="58">
        <v>0</v>
      </c>
      <c r="V16" s="46"/>
      <c r="W16" s="36" t="s">
        <v>6</v>
      </c>
      <c r="X16" s="36" t="s">
        <v>6</v>
      </c>
      <c r="Y16" s="5" t="s">
        <v>6</v>
      </c>
      <c r="Z16" s="5" t="s">
        <v>6</v>
      </c>
      <c r="AA16" s="4" t="s">
        <v>6</v>
      </c>
      <c r="AB16" s="4" t="s">
        <v>6</v>
      </c>
      <c r="AC16" s="14"/>
      <c r="AD16" s="14"/>
      <c r="AE16" s="48">
        <f t="shared" si="0"/>
        <v>0</v>
      </c>
    </row>
    <row r="17" spans="1:31" ht="14.5" thickBot="1" x14ac:dyDescent="0.35">
      <c r="A17" s="19" t="s">
        <v>22</v>
      </c>
      <c r="B17" s="54">
        <v>2003</v>
      </c>
      <c r="C17" s="44">
        <v>63.9</v>
      </c>
      <c r="D17" s="44"/>
      <c r="E17" s="12">
        <v>23.3</v>
      </c>
      <c r="F17" s="13">
        <v>14.9</v>
      </c>
      <c r="G17" s="30" t="s">
        <v>6</v>
      </c>
      <c r="H17" s="14">
        <v>49</v>
      </c>
      <c r="I17" s="2">
        <v>0</v>
      </c>
      <c r="J17" s="33" t="s">
        <v>6</v>
      </c>
      <c r="K17" s="46"/>
      <c r="L17" s="46"/>
      <c r="N17" s="65">
        <v>0</v>
      </c>
      <c r="O17" s="70"/>
      <c r="P17" s="70"/>
      <c r="Q17" s="70"/>
      <c r="R17" s="70"/>
      <c r="S17" s="55"/>
      <c r="T17" s="62">
        <v>40.816326530612251</v>
      </c>
      <c r="U17" s="58">
        <v>0</v>
      </c>
      <c r="V17" s="46"/>
      <c r="W17" s="36" t="s">
        <v>6</v>
      </c>
      <c r="X17" s="36" t="s">
        <v>6</v>
      </c>
      <c r="Y17" s="5" t="s">
        <v>6</v>
      </c>
      <c r="Z17" s="5" t="s">
        <v>6</v>
      </c>
      <c r="AA17" s="4" t="s">
        <v>6</v>
      </c>
      <c r="AB17" s="4" t="s">
        <v>6</v>
      </c>
      <c r="AC17" s="14">
        <v>31</v>
      </c>
      <c r="AD17" s="14" t="s">
        <v>6</v>
      </c>
      <c r="AE17" s="48">
        <f t="shared" si="0"/>
        <v>0</v>
      </c>
    </row>
    <row r="18" spans="1:31" ht="14.5" thickBot="1" x14ac:dyDescent="0.35">
      <c r="A18" s="19" t="s">
        <v>23</v>
      </c>
      <c r="B18" s="54">
        <v>2003</v>
      </c>
      <c r="C18" s="44">
        <v>56.9</v>
      </c>
      <c r="D18" s="44"/>
      <c r="E18" s="12">
        <v>33.1</v>
      </c>
      <c r="F18" s="13">
        <v>18.899999999999999</v>
      </c>
      <c r="G18" s="30" t="s">
        <v>6</v>
      </c>
      <c r="H18" s="14">
        <v>38.1</v>
      </c>
      <c r="I18" s="2">
        <v>0</v>
      </c>
      <c r="J18" s="33" t="s">
        <v>6</v>
      </c>
      <c r="K18" s="46"/>
      <c r="L18" s="46"/>
      <c r="M18" s="47"/>
      <c r="N18" s="65">
        <v>0</v>
      </c>
      <c r="O18" s="70"/>
      <c r="P18" s="70"/>
      <c r="Q18" s="70"/>
      <c r="R18" s="70"/>
      <c r="S18" s="55"/>
      <c r="T18" s="62">
        <v>8.6614173228346569</v>
      </c>
      <c r="U18" s="58">
        <v>0</v>
      </c>
      <c r="V18" s="46"/>
      <c r="W18" s="36" t="s">
        <v>6</v>
      </c>
      <c r="X18" s="36" t="s">
        <v>6</v>
      </c>
      <c r="Y18" s="5" t="s">
        <v>6</v>
      </c>
      <c r="Z18" s="5" t="s">
        <v>6</v>
      </c>
      <c r="AA18" s="4" t="s">
        <v>6</v>
      </c>
      <c r="AB18" s="4" t="s">
        <v>6</v>
      </c>
      <c r="AC18" s="14">
        <v>8.3000000000000007</v>
      </c>
      <c r="AD18" s="14" t="s">
        <v>6</v>
      </c>
      <c r="AE18" s="48">
        <f t="shared" si="0"/>
        <v>0</v>
      </c>
    </row>
    <row r="19" spans="1:31" ht="14.5" thickBot="1" x14ac:dyDescent="0.35">
      <c r="A19" s="19" t="s">
        <v>24</v>
      </c>
      <c r="B19" s="54">
        <v>2003</v>
      </c>
      <c r="C19" s="44">
        <v>64.2</v>
      </c>
      <c r="D19" s="44"/>
      <c r="E19" s="12">
        <v>34.9</v>
      </c>
      <c r="F19" s="13">
        <v>22.4</v>
      </c>
      <c r="G19" s="30" t="s">
        <v>6</v>
      </c>
      <c r="H19" s="14">
        <v>41.8</v>
      </c>
      <c r="I19" s="2">
        <v>0</v>
      </c>
      <c r="J19" s="33" t="s">
        <v>6</v>
      </c>
      <c r="K19" s="46"/>
      <c r="L19" s="46"/>
      <c r="M19" s="47"/>
      <c r="N19" s="65">
        <v>0</v>
      </c>
      <c r="O19" s="70"/>
      <c r="P19" s="70"/>
      <c r="Q19" s="70"/>
      <c r="R19" s="70"/>
      <c r="S19" s="55"/>
      <c r="T19" s="62">
        <v>44.497607655502378</v>
      </c>
      <c r="U19" s="58">
        <v>0</v>
      </c>
      <c r="V19" s="46"/>
      <c r="W19" s="36" t="s">
        <v>6</v>
      </c>
      <c r="X19" s="36" t="s">
        <v>6</v>
      </c>
      <c r="Y19" s="5" t="s">
        <v>6</v>
      </c>
      <c r="Z19" s="5" t="s">
        <v>6</v>
      </c>
      <c r="AA19" s="4" t="s">
        <v>6</v>
      </c>
      <c r="AB19" s="4" t="s">
        <v>6</v>
      </c>
      <c r="AC19" s="14">
        <v>30</v>
      </c>
      <c r="AD19" s="14" t="s">
        <v>6</v>
      </c>
      <c r="AE19" s="48">
        <f t="shared" si="0"/>
        <v>0</v>
      </c>
    </row>
    <row r="20" spans="1:31" ht="14.5" thickBot="1" x14ac:dyDescent="0.35">
      <c r="A20" s="35" t="s">
        <v>25</v>
      </c>
      <c r="B20" s="54">
        <v>2003</v>
      </c>
      <c r="C20" s="49">
        <v>64.2</v>
      </c>
      <c r="D20" s="49"/>
      <c r="E20" s="21">
        <v>29.7</v>
      </c>
      <c r="F20" s="22">
        <v>19</v>
      </c>
      <c r="G20" s="30" t="s">
        <v>6</v>
      </c>
      <c r="H20" s="23">
        <v>45.1</v>
      </c>
      <c r="I20" s="50">
        <v>17.5</v>
      </c>
      <c r="J20" s="33" t="s">
        <v>6</v>
      </c>
      <c r="K20" s="51"/>
      <c r="L20" s="51"/>
      <c r="M20" s="52"/>
      <c r="N20" s="59">
        <v>24.390243902439025</v>
      </c>
      <c r="O20" s="71"/>
      <c r="P20" s="71"/>
      <c r="Q20" s="71"/>
      <c r="R20" s="71"/>
      <c r="S20" s="59"/>
      <c r="T20" s="62">
        <v>0</v>
      </c>
      <c r="U20" s="58">
        <v>0</v>
      </c>
      <c r="V20" s="51"/>
      <c r="W20" s="21" t="s">
        <v>6</v>
      </c>
      <c r="X20" s="21" t="s">
        <v>6</v>
      </c>
      <c r="Y20" s="23" t="s">
        <v>6</v>
      </c>
      <c r="Z20" s="23" t="s">
        <v>6</v>
      </c>
      <c r="AA20" s="22" t="s">
        <v>6</v>
      </c>
      <c r="AB20" s="22" t="s">
        <v>6</v>
      </c>
      <c r="AC20" s="23"/>
      <c r="AD20" s="23"/>
      <c r="AE20" s="53">
        <f t="shared" si="0"/>
        <v>0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PETROLIAM NASIONAL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 Ilyani Bt Mohmad (Dev/Upstream)</dc:creator>
  <cp:lastModifiedBy>M Nabiel Izzuddin Radzuan (Dev/Upstream)</cp:lastModifiedBy>
  <dcterms:created xsi:type="dcterms:W3CDTF">2025-10-28T03:01:33Z</dcterms:created>
  <dcterms:modified xsi:type="dcterms:W3CDTF">2025-11-11T09:00:26Z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2025-10-28T03:07:06Z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1ac1ace2-0296-4d11-a1de-74cec6f9e5db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