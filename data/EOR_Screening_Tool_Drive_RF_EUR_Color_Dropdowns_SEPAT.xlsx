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0" documentId="8_{9FC567EC-7DA8-40E0-8294-2E241CC417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Data" sheetId="1" r:id="rId1"/>
    <sheet name="Screening" sheetId="2" r:id="rId2"/>
    <sheet name="Ranking" sheetId="3" r:id="rId3"/>
    <sheet name="Summary" sheetId="4" r:id="rId4"/>
    <sheet name="Criteria" sheetId="5" r:id="rId5"/>
    <sheet name="PBI Criteria" sheetId="7" r:id="rId6"/>
    <sheet name="Lists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G2" i="2" s="1"/>
  <c r="C10" i="2"/>
  <c r="B10" i="2" s="1"/>
  <c r="C9" i="2"/>
  <c r="B9" i="2"/>
  <c r="F9" i="2" s="1"/>
  <c r="C8" i="2"/>
  <c r="B8" i="2" s="1"/>
  <c r="C7" i="2"/>
  <c r="B7" i="2" s="1"/>
  <c r="C6" i="2"/>
  <c r="B6" i="2"/>
  <c r="C5" i="2"/>
  <c r="B5" i="2" s="1"/>
  <c r="C4" i="2"/>
  <c r="B4" i="2"/>
  <c r="F4" i="2" s="1"/>
  <c r="C3" i="2"/>
  <c r="B3" i="2" s="1"/>
  <c r="C2" i="2"/>
  <c r="B2" i="2" s="1"/>
  <c r="G5" i="2" l="1"/>
  <c r="G3" i="2"/>
  <c r="F10" i="2"/>
  <c r="D10" i="2"/>
  <c r="E10" i="2"/>
  <c r="G10" i="2" s="1"/>
  <c r="H10" i="2" s="1"/>
  <c r="I10" i="2" s="1"/>
  <c r="E2" i="2"/>
  <c r="D2" i="2"/>
  <c r="F2" i="2"/>
  <c r="E7" i="2"/>
  <c r="G7" i="2" s="1"/>
  <c r="H7" i="2" s="1"/>
  <c r="I7" i="2" s="1"/>
  <c r="F7" i="2"/>
  <c r="D7" i="2"/>
  <c r="E5" i="2"/>
  <c r="D5" i="2"/>
  <c r="F5" i="2" s="1"/>
  <c r="D8" i="2"/>
  <c r="F8" i="2"/>
  <c r="E8" i="2"/>
  <c r="G8" i="2" s="1"/>
  <c r="H8" i="2" s="1"/>
  <c r="I8" i="2" s="1"/>
  <c r="D3" i="2"/>
  <c r="F3" i="2"/>
  <c r="E3" i="2"/>
  <c r="D6" i="2"/>
  <c r="F6" i="2" s="1"/>
  <c r="E6" i="2"/>
  <c r="G6" i="2" s="1"/>
  <c r="H6" i="2" s="1"/>
  <c r="I6" i="2" s="1"/>
  <c r="E9" i="2"/>
  <c r="G9" i="2" s="1"/>
  <c r="H9" i="2" s="1"/>
  <c r="I9" i="2" s="1"/>
  <c r="D4" i="2"/>
  <c r="D9" i="2"/>
  <c r="E4" i="2"/>
  <c r="G4" i="2" s="1"/>
  <c r="H4" i="2" s="1"/>
  <c r="I4" i="2" s="1"/>
  <c r="H3" i="2" l="1"/>
  <c r="I3" i="2" s="1"/>
  <c r="H2" i="2"/>
  <c r="I2" i="2" s="1"/>
  <c r="H5" i="2"/>
  <c r="I5" i="2" s="1"/>
  <c r="C8" i="3"/>
  <c r="B8" i="3" s="1"/>
  <c r="C5" i="3"/>
  <c r="B5" i="3" s="1"/>
  <c r="C3" i="3"/>
  <c r="B3" i="3" s="1"/>
  <c r="C10" i="3"/>
  <c r="B10" i="3" s="1"/>
  <c r="C9" i="3"/>
  <c r="B9" i="3" s="1"/>
  <c r="C4" i="3"/>
  <c r="B4" i="3" s="1"/>
  <c r="C6" i="3"/>
  <c r="B6" i="3" s="1"/>
  <c r="C7" i="3"/>
  <c r="B7" i="3" s="1"/>
  <c r="C2" i="3"/>
  <c r="D5" i="3" l="1"/>
  <c r="E5" i="3"/>
  <c r="E8" i="3"/>
  <c r="D8" i="3"/>
  <c r="B4" i="4"/>
  <c r="B2" i="3"/>
  <c r="E7" i="3"/>
  <c r="D7" i="3"/>
  <c r="D6" i="3"/>
  <c r="E6" i="3"/>
  <c r="E4" i="3"/>
  <c r="D4" i="3"/>
  <c r="D9" i="3"/>
  <c r="E9" i="3"/>
  <c r="E10" i="3"/>
  <c r="D10" i="3"/>
  <c r="E3" i="3"/>
  <c r="D3" i="3"/>
  <c r="B3" i="4" l="1"/>
  <c r="E2" i="3"/>
  <c r="B6" i="4" s="1"/>
  <c r="D2" i="3"/>
  <c r="B5" i="4" s="1"/>
</calcChain>
</file>

<file path=xl/sharedStrings.xml><?xml version="1.0" encoding="utf-8"?>
<sst xmlns="http://schemas.openxmlformats.org/spreadsheetml/2006/main" count="343" uniqueCount="176">
  <si>
    <t>EOR Screening Tool - Input Data</t>
  </si>
  <si>
    <t>Parameter</t>
  </si>
  <si>
    <t>Value</t>
  </si>
  <si>
    <t>Unit / Notes</t>
  </si>
  <si>
    <t>Depth</t>
  </si>
  <si>
    <t>ft; True vertical depth of reservoir</t>
  </si>
  <si>
    <t>Reservoir Pressure</t>
  </si>
  <si>
    <t>psia</t>
  </si>
  <si>
    <t>Temperature</t>
  </si>
  <si>
    <t>°C</t>
  </si>
  <si>
    <t>Oil Viscosity</t>
  </si>
  <si>
    <t>cP</t>
  </si>
  <si>
    <t>API Gravity</t>
  </si>
  <si>
    <t>°API</t>
  </si>
  <si>
    <t>Permeability</t>
  </si>
  <si>
    <t>mD</t>
  </si>
  <si>
    <t>Porosity</t>
  </si>
  <si>
    <t>fraction; e.g. 0.25</t>
  </si>
  <si>
    <t>Salinity (TDS)</t>
  </si>
  <si>
    <t>ppm</t>
  </si>
  <si>
    <t>Hardness (Ca²⁺+Mg²⁺)</t>
  </si>
  <si>
    <t>Rock Type</t>
  </si>
  <si>
    <t>Sandstone</t>
  </si>
  <si>
    <t>-; Sandstone / Carbonate</t>
  </si>
  <si>
    <t>Net Pay</t>
  </si>
  <si>
    <t>m</t>
  </si>
  <si>
    <t>Heterogeneity</t>
  </si>
  <si>
    <t>Moderate</t>
  </si>
  <si>
    <t>-; Low / Moderate / High</t>
  </si>
  <si>
    <t>Gas Availability</t>
  </si>
  <si>
    <t>Yes</t>
  </si>
  <si>
    <t>-; Yes / No</t>
  </si>
  <si>
    <t>Oxygen Present in Polymer System</t>
  </si>
  <si>
    <t>OOIP</t>
  </si>
  <si>
    <t>MMstb; Original Oil In Place</t>
  </si>
  <si>
    <t>Base RF (without EOR)</t>
  </si>
  <si>
    <t>%; Current/expected RF (primary + secondary)</t>
  </si>
  <si>
    <t>Drive Mechanism</t>
  </si>
  <si>
    <t>Solution Gas Drive</t>
  </si>
  <si>
    <t>Select/Type: Solution Gas Drive, Weak Water Drive, Moderate Water Drive, Strong Water Drive, Gas Cap Expansion, Combination Drive, Natural Fracture, Others</t>
  </si>
  <si>
    <t>Drive Mech Multiplier</t>
  </si>
  <si>
    <t>Multiplier applied to ΔRF based on drive mechanism</t>
  </si>
  <si>
    <t>EOR Type</t>
  </si>
  <si>
    <t>Critical Fail?</t>
  </si>
  <si>
    <t>Cause of Fail/Pass</t>
  </si>
  <si>
    <t>Score (%)</t>
  </si>
  <si>
    <t>Status</t>
  </si>
  <si>
    <t>Suitability</t>
  </si>
  <si>
    <t>ΔRF_EOR (%)</t>
  </si>
  <si>
    <t>Final RF (%)</t>
  </si>
  <si>
    <t>EUR (MMstb)</t>
  </si>
  <si>
    <t>Miscible Gas</t>
  </si>
  <si>
    <t>Immiscible Gas</t>
  </si>
  <si>
    <t>Polymer (HPAM)</t>
  </si>
  <si>
    <t>Polymer (ATBS)</t>
  </si>
  <si>
    <t>SP</t>
  </si>
  <si>
    <t>ASP</t>
  </si>
  <si>
    <t>CSS</t>
  </si>
  <si>
    <t>Steam Flood</t>
  </si>
  <si>
    <t>ISC</t>
  </si>
  <si>
    <t>Rank</t>
  </si>
  <si>
    <t>EOR Screening Summary</t>
  </si>
  <si>
    <t>Top Recommended EOR Method (by score)</t>
  </si>
  <si>
    <t>Main Technical References:</t>
  </si>
  <si>
    <t>1) Taber et al., 1997 – EOR Screening Criteria Revisited (SPE-35385 &amp; 35386)</t>
  </si>
  <si>
    <t>2) Sheng, J.J., 2011/2013 – Modern Chemical EOR</t>
  </si>
  <si>
    <t>3) Sorbie, 1991 – Polymer-Improved Oil Recovery</t>
  </si>
  <si>
    <t>4) Seright, 2010–2019 – Polymer EOR performance &amp; injectivity papers</t>
  </si>
  <si>
    <t>5) Prats, 1982; Butler, 1991 – Thermal EOR</t>
  </si>
  <si>
    <t>6) DOE CO₂ Guidelines (2006–2014) – CO₂ EOR screening</t>
  </si>
  <si>
    <t>Note:</t>
  </si>
  <si>
    <t>This tool uses a hybrid approach: any failed critical criteria are listed in 'Cause of Fail/Pass' and trigger FAIL, while non-critical match criteria contribute to the 0–100 score.</t>
  </si>
  <si>
    <t>Recovery Factor &amp; EUR:</t>
  </si>
  <si>
    <t>For each EOR method, predicted incremental RF (ΔRF_EOR), final RF and EUR are computed from OOIP and Base RF in InputData, scaled by the screening score and typical incremental RF potential.</t>
  </si>
  <si>
    <t>Drive Mechanism:</t>
  </si>
  <si>
    <t>Drive Mechanism (InputData) modifies ΔRF via a multiplier (e.g. Solution Gas Drive 1.3, Strong Water Drive 0.8, Gas Cap 1.4, etc.).</t>
  </si>
  <si>
    <t>Typical Range / Condition</t>
  </si>
  <si>
    <t>Critical? (Yes/No)</t>
  </si>
  <si>
    <t>Reference</t>
  </si>
  <si>
    <t>&gt;= 28° API</t>
  </si>
  <si>
    <t>Taber et al., 1997</t>
  </si>
  <si>
    <t>&lt;= 6 cP</t>
  </si>
  <si>
    <t>&gt;= 2500 ft</t>
  </si>
  <si>
    <t>Must be available</t>
  </si>
  <si>
    <t>DOE CO₂ Guidelines</t>
  </si>
  <si>
    <t>&gt;= 15° API</t>
  </si>
  <si>
    <t>&lt;= 25 cP</t>
  </si>
  <si>
    <t>&lt;= 70°C</t>
  </si>
  <si>
    <t>Sheng, 2013</t>
  </si>
  <si>
    <t>&lt;= 70,000 ppm</t>
  </si>
  <si>
    <t>Sheng, 2011</t>
  </si>
  <si>
    <t>Hardness</t>
  </si>
  <si>
    <t>&lt;= 500 ppm</t>
  </si>
  <si>
    <t>Sorbie, 1991</t>
  </si>
  <si>
    <t>&gt;= 50 mD</t>
  </si>
  <si>
    <t>&lt;= 110°C</t>
  </si>
  <si>
    <t>Seright, 2019</t>
  </si>
  <si>
    <t>&lt;= 250,000 ppm</t>
  </si>
  <si>
    <t>&gt;= 20° API</t>
  </si>
  <si>
    <t>&lt;= 20 cP</t>
  </si>
  <si>
    <t>&lt;= 100°C</t>
  </si>
  <si>
    <t>&lt;= 50,000 ppm</t>
  </si>
  <si>
    <t>&lt;= 200 ppm</t>
  </si>
  <si>
    <t>&gt;= 22° API</t>
  </si>
  <si>
    <t>&lt;= 30 cP</t>
  </si>
  <si>
    <t>&lt;= 90°C</t>
  </si>
  <si>
    <t>&lt;= 10,000 ppm</t>
  </si>
  <si>
    <t>&lt;= 50 ppm</t>
  </si>
  <si>
    <t>Sandstone Only</t>
  </si>
  <si>
    <t>&gt;= 100 cP</t>
  </si>
  <si>
    <t>Prats, 1982</t>
  </si>
  <si>
    <t>&lt;= 3000 ft</t>
  </si>
  <si>
    <t>&gt;= 500 mD</t>
  </si>
  <si>
    <t>Butler, 1991</t>
  </si>
  <si>
    <t>&gt;= 1000 mD</t>
  </si>
  <si>
    <t>10–200 cP</t>
  </si>
  <si>
    <t>&gt;= 200 mD</t>
  </si>
  <si>
    <t>RockType</t>
  </si>
  <si>
    <t>YesNo</t>
  </si>
  <si>
    <t>DriveMechanism</t>
  </si>
  <si>
    <t>Low</t>
  </si>
  <si>
    <t>Carbonate</t>
  </si>
  <si>
    <t>No</t>
  </si>
  <si>
    <t>Weak Water Drive</t>
  </si>
  <si>
    <t>High</t>
  </si>
  <si>
    <t>Moderate Water Drive</t>
  </si>
  <si>
    <t>Strong Water Drive</t>
  </si>
  <si>
    <t>Gas Cap Expansion</t>
  </si>
  <si>
    <t>Combination Drive</t>
  </si>
  <si>
    <t>Natural Fracture</t>
  </si>
  <si>
    <t>Others</t>
  </si>
  <si>
    <t>EOR_Method</t>
  </si>
  <si>
    <t>API_Min</t>
  </si>
  <si>
    <t>API_Max</t>
  </si>
  <si>
    <t>Visc_Min</t>
  </si>
  <si>
    <t>Visc_Max</t>
  </si>
  <si>
    <t>Depth_Min</t>
  </si>
  <si>
    <t>Depth_Max</t>
  </si>
  <si>
    <t>Temp_Max_C</t>
  </si>
  <si>
    <t>Perm_Min</t>
  </si>
  <si>
    <t>Salinity_TDS_Max</t>
  </si>
  <si>
    <t>Hardness_Max</t>
  </si>
  <si>
    <t>Rock_Type_Sandstone</t>
  </si>
  <si>
    <t>Gas_Available</t>
  </si>
  <si>
    <t>Notes</t>
  </si>
  <si>
    <t>Must verify gas availability</t>
  </si>
  <si>
    <t>Lower recovery than miscible</t>
  </si>
  <si>
    <t>Sheng, 2013; Sorbie, 1991</t>
  </si>
  <si>
    <t>Standard HPAM polymer</t>
  </si>
  <si>
    <t>High-temp tolerant polymer</t>
  </si>
  <si>
    <t>Surfactant-Polymer</t>
  </si>
  <si>
    <t>Taber et al., 1997; Sheng, 2011</t>
  </si>
  <si>
    <t>Requires sandstone</t>
  </si>
  <si>
    <t>Prats, 1982; Butler, 1991</t>
  </si>
  <si>
    <t>Cyclic Steam Stimulation</t>
  </si>
  <si>
    <t>Continuous steamflood</t>
  </si>
  <si>
    <t>In-Situ Combustion</t>
  </si>
  <si>
    <t>Input</t>
  </si>
  <si>
    <t>Guidance</t>
  </si>
  <si>
    <t>Reservoir Type</t>
  </si>
  <si>
    <t>Dropdown: Sandstone / Carbonate / Other</t>
  </si>
  <si>
    <t>Oil Gravity (°API)</t>
  </si>
  <si>
    <t>Numeric</t>
  </si>
  <si>
    <t>Oil Viscosity (cp)</t>
  </si>
  <si>
    <t>Reservoir Depth (ft)</t>
  </si>
  <si>
    <t>Reservoir Temperature (°F)</t>
  </si>
  <si>
    <t>Net Pay (ft)</t>
  </si>
  <si>
    <t>Average Permeability (md)</t>
  </si>
  <si>
    <t>Initial Oil Saturation (%PV)</t>
  </si>
  <si>
    <t>Porosity (%)</t>
  </si>
  <si>
    <t>Reservoir Pressure (psia)</t>
  </si>
  <si>
    <t>Reservoir Dip (Yes=1/No=0)</t>
  </si>
  <si>
    <t>Numeric 0/1</t>
  </si>
  <si>
    <t>Brine Chloride (ppm)</t>
  </si>
  <si>
    <t>Divalent Ions Ca+Mg (ppm)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</si>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</sst>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6F2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6">
    <dxf>
      <font>
        <color rgb="FF000000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</dxfs>
  <tableStyles count="1" defaultTableStyle="TableStyleMedium9" defaultPivotStyle="PivotStyleLight16">
    <tableStyle name="Invisible" pivot="0" table="0" count="0" xr9:uid="{DBE72F7E-7AA1-4A03-AA3B-3699C01452CD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8" zoomScale="118" workbookViewId="0">
      <selection activeCell="B21" sqref="B21"/>
    </sheetView>
  </sheetViews>
  <sheetFormatPr defaultRowHeight="14.5" x14ac:dyDescent="0.35"/>
  <cols>
    <col min="1" max="1" width="30.1796875" customWidth="1"/>
    <col min="2" max="3" width="24" customWidth="1"/>
    <col min="8" max="8" width="25.81640625" bestFit="1" customWidth="1"/>
  </cols>
  <sheetData>
    <row r="1" spans="1:10" x14ac:dyDescent="0.35">
      <c r="A1" s="2" t="s">
        <v>0</v>
      </c>
    </row>
    <row r="3" spans="1:10" x14ac:dyDescent="0.35">
      <c r="A3" s="2" t="s">
        <v>1</v>
      </c>
      <c r="B3" s="2" t="s">
        <v>2</v>
      </c>
      <c r="C3" s="2" t="s">
        <v>3</v>
      </c>
      <c r="H3" s="5" t="s">
        <v>157</v>
      </c>
      <c r="I3" s="5" t="s">
        <v>158</v>
      </c>
      <c r="J3" s="5" t="s">
        <v>2</v>
      </c>
    </row>
    <row r="4" spans="1:10" x14ac:dyDescent="0.35">
      <c r="A4" s="2" t="s">
        <v>4</v>
      </c>
      <c r="B4" s="1">
        <v>4265</v>
      </c>
      <c r="C4" t="s">
        <v>5</v>
      </c>
      <c r="H4" s="6" t="s">
        <v>159</v>
      </c>
      <c r="I4" s="6" t="s">
        <v>160</v>
      </c>
      <c r="J4" s="7" t="s">
        <v>22</v>
      </c>
    </row>
    <row r="5" spans="1:10" x14ac:dyDescent="0.35">
      <c r="A5" s="2" t="s">
        <v>6</v>
      </c>
      <c r="B5" s="1">
        <v>2083</v>
      </c>
      <c r="C5" t="s">
        <v>7</v>
      </c>
      <c r="H5" s="6" t="s">
        <v>161</v>
      </c>
      <c r="I5" s="6" t="s">
        <v>162</v>
      </c>
      <c r="J5" s="8">
        <v>39.4</v>
      </c>
    </row>
    <row r="6" spans="1:10" x14ac:dyDescent="0.35">
      <c r="A6" s="2" t="s">
        <v>8</v>
      </c>
      <c r="B6" s="1">
        <v>103</v>
      </c>
      <c r="C6" t="s">
        <v>9</v>
      </c>
      <c r="H6" s="6" t="s">
        <v>163</v>
      </c>
      <c r="I6" s="6" t="s">
        <v>162</v>
      </c>
      <c r="J6" s="8">
        <v>0.92</v>
      </c>
    </row>
    <row r="7" spans="1:10" x14ac:dyDescent="0.35">
      <c r="A7" s="2" t="s">
        <v>10</v>
      </c>
      <c r="B7" s="1">
        <v>0.92</v>
      </c>
      <c r="C7" t="s">
        <v>11</v>
      </c>
      <c r="H7" s="6" t="s">
        <v>164</v>
      </c>
      <c r="I7" s="6" t="s">
        <v>162</v>
      </c>
      <c r="J7" s="8">
        <v>4265</v>
      </c>
    </row>
    <row r="8" spans="1:10" x14ac:dyDescent="0.35">
      <c r="A8" s="2" t="s">
        <v>12</v>
      </c>
      <c r="B8" s="1">
        <v>39.4</v>
      </c>
      <c r="C8" t="s">
        <v>13</v>
      </c>
      <c r="H8" s="6" t="s">
        <v>165</v>
      </c>
      <c r="I8" s="6" t="s">
        <v>162</v>
      </c>
      <c r="J8" s="8">
        <v>200</v>
      </c>
    </row>
    <row r="9" spans="1:10" x14ac:dyDescent="0.35">
      <c r="A9" s="2" t="s">
        <v>14</v>
      </c>
      <c r="B9" s="1">
        <v>116</v>
      </c>
      <c r="C9" t="s">
        <v>15</v>
      </c>
      <c r="H9" s="6" t="s">
        <v>166</v>
      </c>
      <c r="I9" s="6" t="s">
        <v>162</v>
      </c>
      <c r="J9" s="8">
        <v>82</v>
      </c>
    </row>
    <row r="10" spans="1:10" x14ac:dyDescent="0.35">
      <c r="A10" s="2" t="s">
        <v>16</v>
      </c>
      <c r="B10" s="1">
        <v>0.18</v>
      </c>
      <c r="C10" t="s">
        <v>17</v>
      </c>
      <c r="H10" s="6" t="s">
        <v>167</v>
      </c>
      <c r="I10" s="6" t="s">
        <v>162</v>
      </c>
      <c r="J10" s="8">
        <v>116</v>
      </c>
    </row>
    <row r="11" spans="1:10" x14ac:dyDescent="0.35">
      <c r="A11" s="2" t="s">
        <v>18</v>
      </c>
      <c r="B11" s="1">
        <v>4569</v>
      </c>
      <c r="C11" t="s">
        <v>19</v>
      </c>
      <c r="H11" s="6" t="s">
        <v>168</v>
      </c>
      <c r="I11" s="6" t="s">
        <v>162</v>
      </c>
      <c r="J11" s="8">
        <v>55</v>
      </c>
    </row>
    <row r="12" spans="1:10" x14ac:dyDescent="0.35">
      <c r="A12" s="2" t="s">
        <v>20</v>
      </c>
      <c r="B12" s="1">
        <v>50</v>
      </c>
      <c r="C12" t="s">
        <v>19</v>
      </c>
      <c r="H12" s="6" t="s">
        <v>169</v>
      </c>
      <c r="I12" s="6" t="s">
        <v>162</v>
      </c>
      <c r="J12" s="8">
        <v>18</v>
      </c>
    </row>
    <row r="13" spans="1:10" x14ac:dyDescent="0.35">
      <c r="A13" s="2" t="s">
        <v>21</v>
      </c>
      <c r="B13" s="1" t="s">
        <v>22</v>
      </c>
      <c r="C13" t="s">
        <v>23</v>
      </c>
      <c r="H13" s="6" t="s">
        <v>170</v>
      </c>
      <c r="I13" s="6" t="s">
        <v>162</v>
      </c>
      <c r="J13" s="8">
        <v>2083</v>
      </c>
    </row>
    <row r="14" spans="1:10" x14ac:dyDescent="0.35">
      <c r="A14" s="2" t="s">
        <v>24</v>
      </c>
      <c r="B14" s="1">
        <v>82</v>
      </c>
      <c r="C14" t="s">
        <v>25</v>
      </c>
      <c r="H14" s="6" t="s">
        <v>171</v>
      </c>
      <c r="I14" s="6" t="s">
        <v>172</v>
      </c>
      <c r="J14" s="8">
        <v>1</v>
      </c>
    </row>
    <row r="15" spans="1:10" x14ac:dyDescent="0.35">
      <c r="A15" s="2" t="s">
        <v>26</v>
      </c>
      <c r="B15" s="1" t="s">
        <v>27</v>
      </c>
      <c r="C15" t="s">
        <v>28</v>
      </c>
      <c r="H15" s="6" t="s">
        <v>173</v>
      </c>
      <c r="I15" s="6" t="s">
        <v>162</v>
      </c>
      <c r="J15" s="8">
        <v>4569</v>
      </c>
    </row>
    <row r="16" spans="1:10" x14ac:dyDescent="0.35">
      <c r="A16" s="2" t="s">
        <v>29</v>
      </c>
      <c r="B16" s="1" t="s">
        <v>30</v>
      </c>
      <c r="C16" t="s">
        <v>31</v>
      </c>
      <c r="H16" s="6" t="s">
        <v>174</v>
      </c>
      <c r="I16" s="6" t="s">
        <v>162</v>
      </c>
      <c r="J16" s="8">
        <v>50</v>
      </c>
    </row>
    <row r="17" spans="1:3" x14ac:dyDescent="0.35">
      <c r="A17" s="2" t="s">
        <v>32</v>
      </c>
      <c r="B17" s="1" t="s">
        <v>30</v>
      </c>
      <c r="C17" t="s">
        <v>31</v>
      </c>
    </row>
    <row r="18" spans="1:3" x14ac:dyDescent="0.35">
      <c r="A18" s="2" t="s">
        <v>33</v>
      </c>
      <c r="B18" s="1">
        <v>111</v>
      </c>
      <c r="C18" t="s">
        <v>34</v>
      </c>
    </row>
    <row r="19" spans="1:3" x14ac:dyDescent="0.35">
      <c r="A19" s="2" t="s">
        <v>35</v>
      </c>
      <c r="B19" s="1">
        <v>34.71</v>
      </c>
      <c r="C19" t="s">
        <v>36</v>
      </c>
    </row>
    <row r="20" spans="1:3" x14ac:dyDescent="0.35">
      <c r="A20" s="2"/>
    </row>
    <row r="21" spans="1:3" x14ac:dyDescent="0.35">
      <c r="A21" s="2" t="s">
        <v>37</v>
      </c>
      <c r="B21" s="1" t="s">
        <v>128</v>
      </c>
      <c r="C21" t="s">
        <v>39</v>
      </c>
    </row>
    <row r="22" spans="1:3" x14ac:dyDescent="0.35">
      <c r="A22" s="2" t="s">
        <v>40</v>
      </c>
      <c r="B22" s="9">
        <f>IF($B$21="Solution Gas Drive",1.3,IF($B$21="Weak Water Drive",1.2,IF($B$21="Moderate Water Drive",1,IF($B$21="Strong Water Drive",0.8,IF($B$21="Gas Cap Expansion",1.4,IF($B$21="Combination 'PBI Criteria'!P1Drive",1.1,IF($B$21="Natural Fracture",0.9,1)))))))</f>
        <v>1</v>
      </c>
      <c r="C22" t="s">
        <v>41</v>
      </c>
    </row>
  </sheetData>
  <dataValidations count="2">
    <dataValidation type="decimal" allowBlank="1" showInputMessage="1" showErrorMessage="1" sqref="J5:J15" xr:uid="{F3DF1A04-266F-429E-AEA4-F92043A26451}">
      <formula1>-1000000000</formula1>
      <formula2>1000000000</formula2>
    </dataValidation>
    <dataValidation type="list" allowBlank="1" showInputMessage="1" showErrorMessage="1" sqref="J4" xr:uid="{B1F4077E-5C7C-4B7F-9E52-022CFF7D3F47}">
      <formula1>"Sandstone,Carbonate,Other"</formula1>
    </dataValidation>
  </dataValidations>
  <pageMargins left="0.75" right="0.75" top="1" bottom="1" header="0.5" footer="0.5"/>
  <headerFooter>
    <oddHeader>&amp;C&amp;"Calibri"&amp;8&amp;K000000 For Internal Use - For Internal Distribution Only&amp;1#_x000D_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Lists!$A$2:$A$3</xm:f>
          </x14:formula1>
          <xm:sqref>B13</xm:sqref>
        </x14:dataValidation>
        <x14:dataValidation type="list" allowBlank="1" showInputMessage="1" showErrorMessage="1" xr:uid="{00000000-0002-0000-0000-000001000000}">
          <x14:formula1>
            <xm:f>Lists!$B$2:$B$4</xm:f>
          </x14:formula1>
          <xm:sqref>B15</xm:sqref>
        </x14:dataValidation>
        <x14:dataValidation type="list" allowBlank="1" showInputMessage="1" showErrorMessage="1" xr:uid="{00000000-0002-0000-0000-000002000000}">
          <x14:formula1>
            <xm:f>Lists!$C$2:$C$3</xm:f>
          </x14:formula1>
          <xm:sqref>B16:B17</xm:sqref>
        </x14:dataValidation>
        <x14:dataValidation type="list" allowBlank="1" showInputMessage="1" showErrorMessage="1" xr:uid="{00000000-0002-0000-0000-000004000000}">
          <x14:formula1>
            <xm:f>Lists!$D$2:$D$9</xm:f>
          </x14:formula1>
          <xm:sqref>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G2" sqref="G2:G5"/>
    </sheetView>
  </sheetViews>
  <sheetFormatPr defaultRowHeight="14.5" x14ac:dyDescent="0.35"/>
  <cols>
    <col min="1" max="9" width="24" customWidth="1"/>
  </cols>
  <sheetData>
    <row r="1" spans="1:9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 x14ac:dyDescent="0.35">
      <c r="A2" t="s">
        <v>51</v>
      </c>
      <c r="B2" t="b">
        <f t="shared" ref="B2:B10" si="0">LEN(TRIM(C2))&gt;0</f>
        <v>0</v>
      </c>
      <c r="C2" t="str">
        <f>IF(InputData!$B$8&lt;28,"API too low, ","") &amp; IF(InputData!$B$7&gt;6,"Viscosity too high, ","") &amp; IF(InputData!$B$4&lt;2500,"Depth too shallow, ","") &amp; IF(NOT(OR(InputData!$B$16="Yes",InputData!$B$16="YES",InputData!$B$16="yes")),"No gas available, ","")</f>
        <v/>
      </c>
      <c r="D2">
        <f>IF(B2,0,((IF(InputData!$B$8&gt;=28,1,0)+IF(InputData!$B$7&lt;=6,1,0)+IF(InputData!$B$4&gt;=2500,1,0)+IF(OR(InputData!$B$16="Yes",InputData!$B$16="YES",InputData!$B$16="yes"),1,0))/4*100))</f>
        <v>100</v>
      </c>
      <c r="E2" t="str">
        <f t="shared" ref="E2:E10" si="1">IF(B2,"FAIL (critical)","PASS")</f>
        <v>PASS</v>
      </c>
      <c r="F2" t="str">
        <f t="shared" ref="F2:F10" si="2">IF(B2,"Not suitable",IF(D2&gt;=80,"Highly suitable",IF(D2&gt;=50,"Potentially suitable","Marginal")))</f>
        <v>Highly suitable</v>
      </c>
      <c r="G2" s="9">
        <f>IF(E2="FAIL (critical)","",D2/100*15*InputData!$B$22)</f>
        <v>15</v>
      </c>
      <c r="H2">
        <f>IF(G2="","",InputData!$B$19+G2)</f>
        <v>49.71</v>
      </c>
      <c r="I2">
        <f>IF(H2="","",InputData!$B$18*H2/100)</f>
        <v>55.178100000000001</v>
      </c>
    </row>
    <row r="3" spans="1:9" x14ac:dyDescent="0.35">
      <c r="A3" t="s">
        <v>52</v>
      </c>
      <c r="B3" t="b">
        <f t="shared" si="0"/>
        <v>0</v>
      </c>
      <c r="C3" t="str">
        <f>IF(InputData!$B$8&lt;15,"API too low, ","") &amp; IF(InputData!$B$7&gt;25,"Viscosity too high, ","")</f>
        <v/>
      </c>
      <c r="D3">
        <f>IF(B3,0,((IF(InputData!$B$8&gt;=15,1,0)+IF(InputData!$B$7&lt;=25,1,0))/2*100))</f>
        <v>100</v>
      </c>
      <c r="E3" t="str">
        <f t="shared" si="1"/>
        <v>PASS</v>
      </c>
      <c r="F3" t="str">
        <f t="shared" si="2"/>
        <v>Highly suitable</v>
      </c>
      <c r="G3" s="9">
        <f>IF(E3="FAIL (critical)","",D3/100*8*InputData!$B$22)</f>
        <v>8</v>
      </c>
      <c r="H3">
        <f>IF(G3="","",InputData!$B$19+G3)</f>
        <v>42.71</v>
      </c>
      <c r="I3">
        <f>IF(H3="","",InputData!$B$18*H3/100)</f>
        <v>47.408100000000005</v>
      </c>
    </row>
    <row r="4" spans="1:9" x14ac:dyDescent="0.35">
      <c r="A4" t="s">
        <v>53</v>
      </c>
      <c r="B4" t="b">
        <f t="shared" si="0"/>
        <v>1</v>
      </c>
      <c r="C4" t="str">
        <f>IF(InputData!$B$6&gt;70,"Temperature too high, ","") &amp; IF(InputData!$B$11&gt;70000,"Salinity too high, ","") &amp; IF(InputData!$B$12&gt;500,"Hardness too high, ","") &amp; IF(InputData!$B$9&lt;50,"Permeability too low, ","")</f>
        <v xml:space="preserve">Temperature too high, </v>
      </c>
      <c r="D4">
        <f>IF(B4,0,((IF(InputData!$B$6&lt;=70,1,0)+IF(InputData!$B$11&lt;=70000,1,0)+IF(InputData!$B$12&lt;=500,1,0)+IF(InputData!$B$9&gt;=50,1,0))/4*100))</f>
        <v>0</v>
      </c>
      <c r="E4" t="str">
        <f t="shared" si="1"/>
        <v>FAIL (critical)</v>
      </c>
      <c r="F4" t="str">
        <f t="shared" si="2"/>
        <v>Not suitable</v>
      </c>
      <c r="G4" s="9" t="str">
        <f>IF(E4="FAIL (critical)","",D4/100*10*InputData!$B$22)</f>
        <v/>
      </c>
      <c r="H4" t="str">
        <f>IF(G4="","",InputData!$B$19+G4)</f>
        <v/>
      </c>
      <c r="I4" t="str">
        <f>IF(H4="","",InputData!$B$18*H4/100)</f>
        <v/>
      </c>
    </row>
    <row r="5" spans="1:9" x14ac:dyDescent="0.35">
      <c r="A5" t="s">
        <v>54</v>
      </c>
      <c r="B5" t="b">
        <f t="shared" si="0"/>
        <v>0</v>
      </c>
      <c r="C5" t="str">
        <f>IF(InputData!$B$6&gt;110,"Temperature too high, ","") &amp; IF(InputData!$B$11&gt;250000,"Salinity too high, ","") &amp; IF(InputData!$B$9&lt;50,"Permeability too low, ","")</f>
        <v/>
      </c>
      <c r="D5">
        <f>IF(B5,0,((IF(InputData!$B$6&lt;=110,1,0)+IF(InputData!$B$11&lt;=250000,1,0)+IF(InputData!$B$9&gt;=50,1,0))/3*100))</f>
        <v>100</v>
      </c>
      <c r="E5" t="str">
        <f t="shared" si="1"/>
        <v>PASS</v>
      </c>
      <c r="F5" t="str">
        <f t="shared" si="2"/>
        <v>Highly suitable</v>
      </c>
      <c r="G5" s="9">
        <f>IF(E5="FAIL (critical)","",D5/100*12*InputData!$B$22)</f>
        <v>12</v>
      </c>
      <c r="H5">
        <f>IF(G5="","",InputData!$B$19+G5)</f>
        <v>46.71</v>
      </c>
      <c r="I5">
        <f>IF(H5="","",InputData!$B$18*H5/100)</f>
        <v>51.848100000000002</v>
      </c>
    </row>
    <row r="6" spans="1:9" x14ac:dyDescent="0.35">
      <c r="A6" t="s">
        <v>55</v>
      </c>
      <c r="B6" t="b">
        <f t="shared" si="0"/>
        <v>1</v>
      </c>
      <c r="C6" t="str">
        <f>IF(InputData!$B$8&lt;20,"API too low, ","") &amp; IF(InputData!$B$7&gt;20,"Viscosity too high, ","") &amp; IF(InputData!$B$6&gt;100,"Temperature too high, ","") &amp; IF(InputData!$B$11&gt;50000,"Salinity too high, ","") &amp; IF(InputData!$B$12&gt;200,"Hardness too high, ","")</f>
        <v xml:space="preserve">Temperature too high, </v>
      </c>
      <c r="D6">
        <f>IF(B6,0,((IF(InputData!$B$8&gt;=20,1,0)+IF(InputData!$B$7&lt;=20,1,0)+IF(InputData!$B$6&lt;=100,1,0)+IF(InputData!$B$11&lt;=50000,1,0)+IF(InputData!$B$12&lt;=200,1,0))/5*100))</f>
        <v>0</v>
      </c>
      <c r="E6" t="str">
        <f t="shared" si="1"/>
        <v>FAIL (critical)</v>
      </c>
      <c r="F6" t="str">
        <f t="shared" si="2"/>
        <v>Not suitable</v>
      </c>
      <c r="G6" t="str">
        <f>IF(E6="FAIL (critical)","",D6/100*15*InputData!$B$22)</f>
        <v/>
      </c>
      <c r="H6" t="str">
        <f>IF(G6="","",InputData!$B$19+G6)</f>
        <v/>
      </c>
      <c r="I6" t="str">
        <f>IF(H6="","",InputData!$B$18*H6/100)</f>
        <v/>
      </c>
    </row>
    <row r="7" spans="1:9" x14ac:dyDescent="0.35">
      <c r="A7" t="s">
        <v>56</v>
      </c>
      <c r="B7" t="b">
        <f t="shared" si="0"/>
        <v>1</v>
      </c>
      <c r="C7" t="str">
        <f>IF(InputData!$B$8&lt;22,"API too low, ","") &amp; IF(InputData!$B$7&gt;30,"Viscosity too high, ","") &amp; IF(InputData!$B$6&gt;90,"Temperature too high, ","") &amp; IF(InputData!$B$11&gt;10000,"Salinity too high, ","") &amp; IF(InputData!$B$12&gt;50,"Hardness too high, ","") &amp; IF(NOT(OR(InputData!$B$13="Sandstone",InputData!$B$13="sandstone")),"Not sandstone, ","")</f>
        <v xml:space="preserve">Temperature too high, </v>
      </c>
      <c r="D7">
        <f>IF(B7,0,((IF(InputData!$B$8&gt;=22,1,0)+IF(InputData!$B$7&lt;=30,1,0)+IF(InputData!$B$6&lt;=90,1,0)+IF(InputData!$B$11&lt;=10000,1,0)+IF(InputData!$B$12&lt;=50,1,0)+IF(OR(InputData!$B$13="Sandstone",InputData!$B$13="sandstone"),1,0))/6*100))</f>
        <v>0</v>
      </c>
      <c r="E7" t="str">
        <f t="shared" si="1"/>
        <v>FAIL (critical)</v>
      </c>
      <c r="F7" t="str">
        <f t="shared" si="2"/>
        <v>Not suitable</v>
      </c>
      <c r="G7" t="str">
        <f>IF(E7="FAIL (critical)","",D7/100*20*InputData!$B$22)</f>
        <v/>
      </c>
      <c r="H7" t="str">
        <f>IF(G7="","",InputData!$B$19+G7)</f>
        <v/>
      </c>
      <c r="I7" t="str">
        <f>IF(H7="","",InputData!$B$18*H7/100)</f>
        <v/>
      </c>
    </row>
    <row r="8" spans="1:9" x14ac:dyDescent="0.35">
      <c r="A8" t="s">
        <v>57</v>
      </c>
      <c r="B8" t="b">
        <f t="shared" si="0"/>
        <v>1</v>
      </c>
      <c r="C8" t="str">
        <f>IF(InputData!$B$7&lt;100,"Viscosity too low, ","") &amp; IF(InputData!$B$4&gt;3000,"Depth too deep, ","") &amp; IF(InputData!$B$9&lt;500,"Permeability too low, ","")</f>
        <v xml:space="preserve">Viscosity too low, Depth too deep, Permeability too low, </v>
      </c>
      <c r="D8">
        <f>IF(B8,0,((IF(InputData!$B$7&gt;=100,1,0)+IF(InputData!$B$4&lt;=3000,1,0)+IF(InputData!$B$9&gt;=500,1,0))/3*100))</f>
        <v>0</v>
      </c>
      <c r="E8" t="str">
        <f t="shared" si="1"/>
        <v>FAIL (critical)</v>
      </c>
      <c r="F8" t="str">
        <f t="shared" si="2"/>
        <v>Not suitable</v>
      </c>
      <c r="G8" t="str">
        <f>IF(E8="FAIL (critical)","",D8/100*15*InputData!$B$22)</f>
        <v/>
      </c>
      <c r="H8" t="str">
        <f>IF(G8="","",InputData!$B$19+G8)</f>
        <v/>
      </c>
      <c r="I8" t="str">
        <f>IF(H8="","",InputData!$B$18*H8/100)</f>
        <v/>
      </c>
    </row>
    <row r="9" spans="1:9" x14ac:dyDescent="0.35">
      <c r="A9" t="s">
        <v>58</v>
      </c>
      <c r="B9" t="b">
        <f t="shared" si="0"/>
        <v>1</v>
      </c>
      <c r="C9" t="str">
        <f>IF(InputData!$B$7&lt;100,"Viscosity too low, ","") &amp; IF(InputData!$B$4&gt;3000,"Depth too deep, ","") &amp; IF(InputData!$B$9&lt;1000,"Permeability too low, ","")</f>
        <v xml:space="preserve">Viscosity too low, Depth too deep, Permeability too low, </v>
      </c>
      <c r="D9">
        <f>IF(B9,0,((IF(InputData!$B$7&gt;=100,1,0)+IF(InputData!$B$4&lt;=3000,1,0)+IF(InputData!$B$9&gt;=1000,1,0))/3*100))</f>
        <v>0</v>
      </c>
      <c r="E9" t="str">
        <f t="shared" si="1"/>
        <v>FAIL (critical)</v>
      </c>
      <c r="F9" t="str">
        <f t="shared" si="2"/>
        <v>Not suitable</v>
      </c>
      <c r="G9" t="str">
        <f>IF(E9="FAIL (critical)","",D9/100*18*InputData!$B$22)</f>
        <v/>
      </c>
      <c r="H9" t="str">
        <f>IF(G9="","",InputData!$B$19+G9)</f>
        <v/>
      </c>
      <c r="I9" t="str">
        <f>IF(H9="","",InputData!$B$18*H9/100)</f>
        <v/>
      </c>
    </row>
    <row r="10" spans="1:9" x14ac:dyDescent="0.35">
      <c r="A10" t="s">
        <v>59</v>
      </c>
      <c r="B10" t="b">
        <f t="shared" si="0"/>
        <v>1</v>
      </c>
      <c r="C10" t="str">
        <f>IF(InputData!$B$7&lt;10,"Viscosity too low, ","") &amp; IF(InputData!$B$7&gt;200,"Viscosity too high, ","") &amp; IF(InputData!$B$9&lt;200,"Permeability too low, ","")</f>
        <v xml:space="preserve">Viscosity too low, Permeability too low, </v>
      </c>
      <c r="D10">
        <f>IF(B10,0,((IF(AND(InputData!$B$7&gt;=10,InputData!$B$7&lt;=200),1,0)+IF(InputData!$B$9&gt;=200,1,0))/2*100))</f>
        <v>0</v>
      </c>
      <c r="E10" t="str">
        <f t="shared" si="1"/>
        <v>FAIL (critical)</v>
      </c>
      <c r="F10" t="str">
        <f t="shared" si="2"/>
        <v>Not suitable</v>
      </c>
      <c r="G10" t="str">
        <f>IF(E10="FAIL (critical)","",D10/100*10*InputData!$B$22)</f>
        <v/>
      </c>
      <c r="H10" t="str">
        <f>IF(G10="","",InputData!$B$19+G10)</f>
        <v/>
      </c>
      <c r="I10" t="str">
        <f>IF(H10="","",InputData!$B$18*H10/100)</f>
        <v/>
      </c>
    </row>
  </sheetData>
  <conditionalFormatting sqref="E2:E10">
    <cfRule type="expression" dxfId="5" priority="1">
      <formula>$E2="PASS"</formula>
    </cfRule>
    <cfRule type="expression" dxfId="4" priority="2">
      <formula>$E2="FAIL (critical)"</formula>
    </cfRule>
  </conditionalFormatting>
  <conditionalFormatting sqref="F2:F10">
    <cfRule type="expression" dxfId="3" priority="3">
      <formula>$F2="Highly suitable"</formula>
    </cfRule>
    <cfRule type="expression" dxfId="2" priority="4">
      <formula>$F2="Potentially suitable"</formula>
    </cfRule>
    <cfRule type="expression" dxfId="1" priority="5">
      <formula>$F2="Marginal"</formula>
    </cfRule>
    <cfRule type="expression" dxfId="0" priority="6">
      <formula>$F2="Not suitable"</formula>
    </cfRule>
  </conditionalFormatting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5" x14ac:dyDescent="0.35"/>
  <cols>
    <col min="1" max="5" width="24" customWidth="1"/>
  </cols>
  <sheetData>
    <row r="1" spans="1:5" x14ac:dyDescent="0.35">
      <c r="A1" t="s">
        <v>60</v>
      </c>
      <c r="B1" t="s">
        <v>42</v>
      </c>
      <c r="C1" t="s">
        <v>45</v>
      </c>
      <c r="D1" t="s">
        <v>46</v>
      </c>
      <c r="E1" t="s">
        <v>47</v>
      </c>
    </row>
    <row r="2" spans="1:5" x14ac:dyDescent="0.35">
      <c r="A2">
        <v>1</v>
      </c>
      <c r="B2" t="str">
        <f>INDEX(Screening!$A$2:$A$10,MATCH(C2,Screening!$D$2:$D$10,0))</f>
        <v>Miscible Gas</v>
      </c>
      <c r="C2">
        <f>LARGE(Screening!$D$2:$D$10,A2)</f>
        <v>100</v>
      </c>
      <c r="D2" t="str">
        <f>INDEX(Screening!$E$2:$E$10,MATCH(B2,Screening!$A$2:$A$10,0))</f>
        <v>PASS</v>
      </c>
      <c r="E2" t="str">
        <f>INDEX(Screening!$F$2:$F$10,MATCH(B2,Screening!$A$2:$A$10,0))</f>
        <v>Highly suitable</v>
      </c>
    </row>
    <row r="3" spans="1:5" x14ac:dyDescent="0.35">
      <c r="A3">
        <v>2</v>
      </c>
      <c r="B3" t="str">
        <f>INDEX(Screening!$A$2:$A$10,MATCH(C3,Screening!$D$2:$D$10,0))</f>
        <v>Miscible Gas</v>
      </c>
      <c r="C3">
        <f>LARGE(Screening!$D$2:$D$10,A3)</f>
        <v>100</v>
      </c>
      <c r="D3" t="str">
        <f>INDEX(Screening!$E$2:$E$10,MATCH(B3,Screening!$A$2:$A$10,0))</f>
        <v>PASS</v>
      </c>
      <c r="E3" t="str">
        <f>INDEX(Screening!$F$2:$F$10,MATCH(B3,Screening!$A$2:$A$10,0))</f>
        <v>Highly suitable</v>
      </c>
    </row>
    <row r="4" spans="1:5" x14ac:dyDescent="0.35">
      <c r="A4">
        <v>3</v>
      </c>
      <c r="B4" t="str">
        <f>INDEX(Screening!$A$2:$A$10,MATCH(C4,Screening!$D$2:$D$10,0))</f>
        <v>Miscible Gas</v>
      </c>
      <c r="C4">
        <f>LARGE(Screening!$D$2:$D$10,A4)</f>
        <v>100</v>
      </c>
      <c r="D4" t="str">
        <f>INDEX(Screening!$E$2:$E$10,MATCH(B4,Screening!$A$2:$A$10,0))</f>
        <v>PASS</v>
      </c>
      <c r="E4" t="str">
        <f>INDEX(Screening!$F$2:$F$10,MATCH(B4,Screening!$A$2:$A$10,0))</f>
        <v>Highly suitable</v>
      </c>
    </row>
    <row r="5" spans="1:5" x14ac:dyDescent="0.35">
      <c r="A5">
        <v>4</v>
      </c>
      <c r="B5" t="str">
        <f>INDEX(Screening!$A$2:$A$10,MATCH(C5,Screening!$D$2:$D$10,0))</f>
        <v>Polymer (HPAM)</v>
      </c>
      <c r="C5">
        <f>LARGE(Screening!$D$2:$D$10,A5)</f>
        <v>0</v>
      </c>
      <c r="D5" t="str">
        <f>INDEX(Screening!$E$2:$E$10,MATCH(B5,Screening!$A$2:$A$10,0))</f>
        <v>FAIL (critical)</v>
      </c>
      <c r="E5" t="str">
        <f>INDEX(Screening!$F$2:$F$10,MATCH(B5,Screening!$A$2:$A$10,0))</f>
        <v>Not suitable</v>
      </c>
    </row>
    <row r="6" spans="1:5" x14ac:dyDescent="0.35">
      <c r="A6">
        <v>5</v>
      </c>
      <c r="B6" t="str">
        <f>INDEX(Screening!$A$2:$A$10,MATCH(C6,Screening!$D$2:$D$10,0))</f>
        <v>Polymer (HPAM)</v>
      </c>
      <c r="C6">
        <f>LARGE(Screening!$D$2:$D$10,A6)</f>
        <v>0</v>
      </c>
      <c r="D6" t="str">
        <f>INDEX(Screening!$E$2:$E$10,MATCH(B6,Screening!$A$2:$A$10,0))</f>
        <v>FAIL (critical)</v>
      </c>
      <c r="E6" t="str">
        <f>INDEX(Screening!$F$2:$F$10,MATCH(B6,Screening!$A$2:$A$10,0))</f>
        <v>Not suitable</v>
      </c>
    </row>
    <row r="7" spans="1:5" x14ac:dyDescent="0.35">
      <c r="A7">
        <v>6</v>
      </c>
      <c r="B7" t="str">
        <f>INDEX(Screening!$A$2:$A$10,MATCH(C7,Screening!$D$2:$D$10,0))</f>
        <v>Polymer (HPAM)</v>
      </c>
      <c r="C7">
        <f>LARGE(Screening!$D$2:$D$10,A7)</f>
        <v>0</v>
      </c>
      <c r="D7" t="str">
        <f>INDEX(Screening!$E$2:$E$10,MATCH(B7,Screening!$A$2:$A$10,0))</f>
        <v>FAIL (critical)</v>
      </c>
      <c r="E7" t="str">
        <f>INDEX(Screening!$F$2:$F$10,MATCH(B7,Screening!$A$2:$A$10,0))</f>
        <v>Not suitable</v>
      </c>
    </row>
    <row r="8" spans="1:5" x14ac:dyDescent="0.35">
      <c r="A8">
        <v>7</v>
      </c>
      <c r="B8" t="str">
        <f>INDEX(Screening!$A$2:$A$10,MATCH(C8,Screening!$D$2:$D$10,0))</f>
        <v>Polymer (HPAM)</v>
      </c>
      <c r="C8">
        <f>LARGE(Screening!$D$2:$D$10,A8)</f>
        <v>0</v>
      </c>
      <c r="D8" t="str">
        <f>INDEX(Screening!$E$2:$E$10,MATCH(B8,Screening!$A$2:$A$10,0))</f>
        <v>FAIL (critical)</v>
      </c>
      <c r="E8" t="str">
        <f>INDEX(Screening!$F$2:$F$10,MATCH(B8,Screening!$A$2:$A$10,0))</f>
        <v>Not suitable</v>
      </c>
    </row>
    <row r="9" spans="1:5" x14ac:dyDescent="0.35">
      <c r="A9">
        <v>8</v>
      </c>
      <c r="B9" t="str">
        <f>INDEX(Screening!$A$2:$A$10,MATCH(C9,Screening!$D$2:$D$10,0))</f>
        <v>Polymer (HPAM)</v>
      </c>
      <c r="C9">
        <f>LARGE(Screening!$D$2:$D$10,A9)</f>
        <v>0</v>
      </c>
      <c r="D9" t="str">
        <f>INDEX(Screening!$E$2:$E$10,MATCH(B9,Screening!$A$2:$A$10,0))</f>
        <v>FAIL (critical)</v>
      </c>
      <c r="E9" t="str">
        <f>INDEX(Screening!$F$2:$F$10,MATCH(B9,Screening!$A$2:$A$10,0))</f>
        <v>Not suitable</v>
      </c>
    </row>
    <row r="10" spans="1:5" x14ac:dyDescent="0.35">
      <c r="A10">
        <v>9</v>
      </c>
      <c r="B10" t="str">
        <f>INDEX(Screening!$A$2:$A$10,MATCH(C10,Screening!$D$2:$D$10,0))</f>
        <v>Polymer (HPAM)</v>
      </c>
      <c r="C10">
        <f>LARGE(Screening!$D$2:$D$10,A10)</f>
        <v>0</v>
      </c>
      <c r="D10" t="str">
        <f>INDEX(Screening!$E$2:$E$10,MATCH(B10,Screening!$A$2:$A$10,0))</f>
        <v>FAIL (critical)</v>
      </c>
      <c r="E10" t="str">
        <f>INDEX(Screening!$F$2:$F$10,MATCH(B10,Screening!$A$2:$A$10,0))</f>
        <v>Not suitable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/>
  </sheetViews>
  <sheetFormatPr defaultRowHeight="14.5" x14ac:dyDescent="0.35"/>
  <cols>
    <col min="1" max="2" width="24" customWidth="1"/>
  </cols>
  <sheetData>
    <row r="1" spans="1:2" x14ac:dyDescent="0.35">
      <c r="A1" t="s">
        <v>61</v>
      </c>
    </row>
    <row r="3" spans="1:2" x14ac:dyDescent="0.35">
      <c r="A3" t="s">
        <v>62</v>
      </c>
      <c r="B3" t="str">
        <f>Ranking!B2</f>
        <v>Miscible Gas</v>
      </c>
    </row>
    <row r="4" spans="1:2" x14ac:dyDescent="0.35">
      <c r="A4" t="s">
        <v>45</v>
      </c>
      <c r="B4">
        <f>Ranking!C2</f>
        <v>100</v>
      </c>
    </row>
    <row r="5" spans="1:2" x14ac:dyDescent="0.35">
      <c r="A5" t="s">
        <v>46</v>
      </c>
      <c r="B5" t="str">
        <f>Ranking!D2</f>
        <v>PASS</v>
      </c>
    </row>
    <row r="6" spans="1:2" x14ac:dyDescent="0.35">
      <c r="A6" t="s">
        <v>47</v>
      </c>
      <c r="B6" t="str">
        <f>Ranking!E2</f>
        <v>Highly suitable</v>
      </c>
    </row>
    <row r="8" spans="1:2" x14ac:dyDescent="0.35">
      <c r="A8" t="s">
        <v>63</v>
      </c>
    </row>
    <row r="9" spans="1:2" x14ac:dyDescent="0.35">
      <c r="A9" t="s">
        <v>64</v>
      </c>
    </row>
    <row r="10" spans="1:2" x14ac:dyDescent="0.35">
      <c r="A10" t="s">
        <v>65</v>
      </c>
    </row>
    <row r="11" spans="1:2" x14ac:dyDescent="0.35">
      <c r="A11" t="s">
        <v>66</v>
      </c>
    </row>
    <row r="12" spans="1:2" x14ac:dyDescent="0.35">
      <c r="A12" t="s">
        <v>67</v>
      </c>
    </row>
    <row r="13" spans="1:2" x14ac:dyDescent="0.35">
      <c r="A13" t="s">
        <v>68</v>
      </c>
    </row>
    <row r="14" spans="1:2" x14ac:dyDescent="0.35">
      <c r="A14" t="s">
        <v>69</v>
      </c>
    </row>
    <row r="16" spans="1:2" x14ac:dyDescent="0.35">
      <c r="A16" t="s">
        <v>70</v>
      </c>
    </row>
    <row r="17" spans="1:1" x14ac:dyDescent="0.35">
      <c r="A17" t="s">
        <v>71</v>
      </c>
    </row>
    <row r="19" spans="1:1" x14ac:dyDescent="0.35">
      <c r="A19" t="s">
        <v>72</v>
      </c>
    </row>
    <row r="20" spans="1:1" x14ac:dyDescent="0.35">
      <c r="A20" t="s">
        <v>73</v>
      </c>
    </row>
    <row r="22" spans="1:1" x14ac:dyDescent="0.35">
      <c r="A22" t="s">
        <v>74</v>
      </c>
    </row>
    <row r="23" spans="1:1" x14ac:dyDescent="0.35">
      <c r="A23" t="s">
        <v>75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A6" sqref="A6:XFD6"/>
    </sheetView>
  </sheetViews>
  <sheetFormatPr defaultRowHeight="14.5" x14ac:dyDescent="0.35"/>
  <cols>
    <col min="1" max="5" width="24" customWidth="1"/>
  </cols>
  <sheetData>
    <row r="1" spans="1:5" x14ac:dyDescent="0.35">
      <c r="A1" t="s">
        <v>42</v>
      </c>
      <c r="B1" t="s">
        <v>1</v>
      </c>
      <c r="C1" t="s">
        <v>76</v>
      </c>
      <c r="D1" t="s">
        <v>77</v>
      </c>
      <c r="E1" t="s">
        <v>78</v>
      </c>
    </row>
    <row r="2" spans="1:5" x14ac:dyDescent="0.35">
      <c r="A2" t="s">
        <v>51</v>
      </c>
      <c r="B2" t="s">
        <v>12</v>
      </c>
      <c r="C2" t="s">
        <v>79</v>
      </c>
      <c r="D2" t="s">
        <v>30</v>
      </c>
      <c r="E2" t="s">
        <v>80</v>
      </c>
    </row>
    <row r="3" spans="1:5" x14ac:dyDescent="0.35">
      <c r="A3" t="s">
        <v>51</v>
      </c>
      <c r="B3" t="s">
        <v>10</v>
      </c>
      <c r="C3" t="s">
        <v>81</v>
      </c>
      <c r="D3" t="s">
        <v>30</v>
      </c>
      <c r="E3" t="s">
        <v>80</v>
      </c>
    </row>
    <row r="4" spans="1:5" x14ac:dyDescent="0.35">
      <c r="A4" t="s">
        <v>51</v>
      </c>
      <c r="B4" t="s">
        <v>4</v>
      </c>
      <c r="C4" t="s">
        <v>82</v>
      </c>
      <c r="D4" t="s">
        <v>30</v>
      </c>
      <c r="E4" t="s">
        <v>80</v>
      </c>
    </row>
    <row r="5" spans="1:5" x14ac:dyDescent="0.35">
      <c r="A5" t="s">
        <v>51</v>
      </c>
      <c r="B5" t="s">
        <v>29</v>
      </c>
      <c r="C5" t="s">
        <v>83</v>
      </c>
      <c r="D5" t="s">
        <v>30</v>
      </c>
      <c r="E5" t="s">
        <v>84</v>
      </c>
    </row>
    <row r="6" spans="1:5" x14ac:dyDescent="0.35">
      <c r="A6" t="s">
        <v>52</v>
      </c>
      <c r="B6" t="s">
        <v>12</v>
      </c>
      <c r="C6" t="s">
        <v>85</v>
      </c>
      <c r="D6" t="s">
        <v>30</v>
      </c>
      <c r="E6" t="s">
        <v>80</v>
      </c>
    </row>
    <row r="7" spans="1:5" x14ac:dyDescent="0.35">
      <c r="A7" t="s">
        <v>52</v>
      </c>
      <c r="B7" t="s">
        <v>10</v>
      </c>
      <c r="C7" t="s">
        <v>86</v>
      </c>
      <c r="D7" t="s">
        <v>30</v>
      </c>
      <c r="E7" t="s">
        <v>80</v>
      </c>
    </row>
    <row r="8" spans="1:5" x14ac:dyDescent="0.35">
      <c r="A8" t="s">
        <v>53</v>
      </c>
      <c r="B8" t="s">
        <v>8</v>
      </c>
      <c r="C8" t="s">
        <v>87</v>
      </c>
      <c r="D8" t="s">
        <v>30</v>
      </c>
      <c r="E8" t="s">
        <v>88</v>
      </c>
    </row>
    <row r="9" spans="1:5" x14ac:dyDescent="0.35">
      <c r="A9" t="s">
        <v>53</v>
      </c>
      <c r="B9" t="s">
        <v>18</v>
      </c>
      <c r="C9" t="s">
        <v>89</v>
      </c>
      <c r="D9" t="s">
        <v>30</v>
      </c>
      <c r="E9" t="s">
        <v>90</v>
      </c>
    </row>
    <row r="10" spans="1:5" x14ac:dyDescent="0.35">
      <c r="A10" t="s">
        <v>53</v>
      </c>
      <c r="B10" t="s">
        <v>91</v>
      </c>
      <c r="C10" t="s">
        <v>92</v>
      </c>
      <c r="D10" t="s">
        <v>30</v>
      </c>
      <c r="E10" t="s">
        <v>93</v>
      </c>
    </row>
    <row r="11" spans="1:5" x14ac:dyDescent="0.35">
      <c r="A11" t="s">
        <v>53</v>
      </c>
      <c r="B11" t="s">
        <v>14</v>
      </c>
      <c r="C11" t="s">
        <v>94</v>
      </c>
      <c r="D11" t="s">
        <v>30</v>
      </c>
      <c r="E11" t="s">
        <v>80</v>
      </c>
    </row>
    <row r="12" spans="1:5" x14ac:dyDescent="0.35">
      <c r="A12" t="s">
        <v>54</v>
      </c>
      <c r="B12" t="s">
        <v>8</v>
      </c>
      <c r="C12" t="s">
        <v>95</v>
      </c>
      <c r="D12" t="s">
        <v>30</v>
      </c>
      <c r="E12" t="s">
        <v>96</v>
      </c>
    </row>
    <row r="13" spans="1:5" x14ac:dyDescent="0.35">
      <c r="A13" t="s">
        <v>54</v>
      </c>
      <c r="B13" t="s">
        <v>18</v>
      </c>
      <c r="C13" t="s">
        <v>97</v>
      </c>
      <c r="D13" t="s">
        <v>30</v>
      </c>
      <c r="E13" t="s">
        <v>96</v>
      </c>
    </row>
    <row r="14" spans="1:5" x14ac:dyDescent="0.35">
      <c r="A14" t="s">
        <v>54</v>
      </c>
      <c r="B14" t="s">
        <v>14</v>
      </c>
      <c r="C14" t="s">
        <v>94</v>
      </c>
      <c r="D14" t="s">
        <v>30</v>
      </c>
      <c r="E14" t="s">
        <v>88</v>
      </c>
    </row>
    <row r="15" spans="1:5" x14ac:dyDescent="0.35">
      <c r="A15" t="s">
        <v>55</v>
      </c>
      <c r="B15" t="s">
        <v>12</v>
      </c>
      <c r="C15" t="s">
        <v>98</v>
      </c>
      <c r="D15" t="s">
        <v>30</v>
      </c>
      <c r="E15" t="s">
        <v>88</v>
      </c>
    </row>
    <row r="16" spans="1:5" x14ac:dyDescent="0.35">
      <c r="A16" t="s">
        <v>55</v>
      </c>
      <c r="B16" t="s">
        <v>10</v>
      </c>
      <c r="C16" t="s">
        <v>99</v>
      </c>
      <c r="D16" t="s">
        <v>30</v>
      </c>
      <c r="E16" t="s">
        <v>80</v>
      </c>
    </row>
    <row r="17" spans="1:5" x14ac:dyDescent="0.35">
      <c r="A17" t="s">
        <v>55</v>
      </c>
      <c r="B17" t="s">
        <v>8</v>
      </c>
      <c r="C17" t="s">
        <v>100</v>
      </c>
      <c r="D17" t="s">
        <v>30</v>
      </c>
      <c r="E17" t="s">
        <v>88</v>
      </c>
    </row>
    <row r="18" spans="1:5" x14ac:dyDescent="0.35">
      <c r="A18" t="s">
        <v>55</v>
      </c>
      <c r="B18" t="s">
        <v>18</v>
      </c>
      <c r="C18" t="s">
        <v>101</v>
      </c>
      <c r="D18" t="s">
        <v>30</v>
      </c>
      <c r="E18" t="s">
        <v>88</v>
      </c>
    </row>
    <row r="19" spans="1:5" x14ac:dyDescent="0.35">
      <c r="A19" t="s">
        <v>55</v>
      </c>
      <c r="B19" t="s">
        <v>91</v>
      </c>
      <c r="C19" t="s">
        <v>102</v>
      </c>
      <c r="D19" t="s">
        <v>30</v>
      </c>
      <c r="E19" t="s">
        <v>88</v>
      </c>
    </row>
    <row r="20" spans="1:5" x14ac:dyDescent="0.35">
      <c r="A20" t="s">
        <v>56</v>
      </c>
      <c r="B20" t="s">
        <v>12</v>
      </c>
      <c r="C20" t="s">
        <v>103</v>
      </c>
      <c r="D20" t="s">
        <v>30</v>
      </c>
      <c r="E20" t="s">
        <v>80</v>
      </c>
    </row>
    <row r="21" spans="1:5" x14ac:dyDescent="0.35">
      <c r="A21" t="s">
        <v>56</v>
      </c>
      <c r="B21" t="s">
        <v>10</v>
      </c>
      <c r="C21" t="s">
        <v>104</v>
      </c>
      <c r="D21" t="s">
        <v>30</v>
      </c>
      <c r="E21" t="s">
        <v>80</v>
      </c>
    </row>
    <row r="22" spans="1:5" x14ac:dyDescent="0.35">
      <c r="A22" t="s">
        <v>56</v>
      </c>
      <c r="B22" t="s">
        <v>8</v>
      </c>
      <c r="C22" t="s">
        <v>105</v>
      </c>
      <c r="D22" t="s">
        <v>30</v>
      </c>
      <c r="E22" t="s">
        <v>90</v>
      </c>
    </row>
    <row r="23" spans="1:5" x14ac:dyDescent="0.35">
      <c r="A23" t="s">
        <v>56</v>
      </c>
      <c r="B23" t="s">
        <v>18</v>
      </c>
      <c r="C23" t="s">
        <v>106</v>
      </c>
      <c r="D23" t="s">
        <v>30</v>
      </c>
      <c r="E23" t="s">
        <v>90</v>
      </c>
    </row>
    <row r="24" spans="1:5" x14ac:dyDescent="0.35">
      <c r="A24" t="s">
        <v>56</v>
      </c>
      <c r="B24" t="s">
        <v>91</v>
      </c>
      <c r="C24" t="s">
        <v>107</v>
      </c>
      <c r="D24" t="s">
        <v>30</v>
      </c>
      <c r="E24" t="s">
        <v>90</v>
      </c>
    </row>
    <row r="25" spans="1:5" x14ac:dyDescent="0.35">
      <c r="A25" t="s">
        <v>56</v>
      </c>
      <c r="B25" t="s">
        <v>21</v>
      </c>
      <c r="C25" t="s">
        <v>108</v>
      </c>
      <c r="D25" t="s">
        <v>30</v>
      </c>
      <c r="E25" t="s">
        <v>80</v>
      </c>
    </row>
    <row r="26" spans="1:5" x14ac:dyDescent="0.35">
      <c r="A26" t="s">
        <v>57</v>
      </c>
      <c r="B26" t="s">
        <v>10</v>
      </c>
      <c r="C26" t="s">
        <v>109</v>
      </c>
      <c r="D26" t="s">
        <v>30</v>
      </c>
      <c r="E26" t="s">
        <v>110</v>
      </c>
    </row>
    <row r="27" spans="1:5" x14ac:dyDescent="0.35">
      <c r="A27" t="s">
        <v>57</v>
      </c>
      <c r="B27" t="s">
        <v>4</v>
      </c>
      <c r="C27" t="s">
        <v>111</v>
      </c>
      <c r="D27" t="s">
        <v>30</v>
      </c>
      <c r="E27" t="s">
        <v>110</v>
      </c>
    </row>
    <row r="28" spans="1:5" x14ac:dyDescent="0.35">
      <c r="A28" t="s">
        <v>57</v>
      </c>
      <c r="B28" t="s">
        <v>14</v>
      </c>
      <c r="C28" t="s">
        <v>112</v>
      </c>
      <c r="D28" t="s">
        <v>30</v>
      </c>
      <c r="E28" t="s">
        <v>113</v>
      </c>
    </row>
    <row r="29" spans="1:5" x14ac:dyDescent="0.35">
      <c r="A29" t="s">
        <v>58</v>
      </c>
      <c r="B29" t="s">
        <v>10</v>
      </c>
      <c r="C29" t="s">
        <v>109</v>
      </c>
      <c r="D29" t="s">
        <v>30</v>
      </c>
      <c r="E29" t="s">
        <v>110</v>
      </c>
    </row>
    <row r="30" spans="1:5" x14ac:dyDescent="0.35">
      <c r="A30" t="s">
        <v>58</v>
      </c>
      <c r="B30" t="s">
        <v>4</v>
      </c>
      <c r="C30" t="s">
        <v>111</v>
      </c>
      <c r="D30" t="s">
        <v>30</v>
      </c>
      <c r="E30" t="s">
        <v>110</v>
      </c>
    </row>
    <row r="31" spans="1:5" x14ac:dyDescent="0.35">
      <c r="A31" t="s">
        <v>58</v>
      </c>
      <c r="B31" t="s">
        <v>14</v>
      </c>
      <c r="C31" t="s">
        <v>114</v>
      </c>
      <c r="D31" t="s">
        <v>30</v>
      </c>
      <c r="E31" t="s">
        <v>113</v>
      </c>
    </row>
    <row r="32" spans="1:5" x14ac:dyDescent="0.35">
      <c r="A32" t="s">
        <v>59</v>
      </c>
      <c r="B32" t="s">
        <v>10</v>
      </c>
      <c r="C32" t="s">
        <v>115</v>
      </c>
      <c r="D32" t="s">
        <v>30</v>
      </c>
      <c r="E32" t="s">
        <v>80</v>
      </c>
    </row>
    <row r="33" spans="1:5" x14ac:dyDescent="0.35">
      <c r="A33" t="s">
        <v>59</v>
      </c>
      <c r="B33" t="s">
        <v>14</v>
      </c>
      <c r="C33" t="s">
        <v>116</v>
      </c>
      <c r="D33" t="s">
        <v>30</v>
      </c>
      <c r="E33" t="s">
        <v>80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D666-3B1D-4EB2-837F-34865611F2BF}">
  <dimension ref="A1:P10"/>
  <sheetViews>
    <sheetView topLeftCell="F4" workbookViewId="0">
      <selection activeCell="I4" sqref="I4"/>
    </sheetView>
  </sheetViews>
  <sheetFormatPr defaultRowHeight="14.5" x14ac:dyDescent="0.35"/>
  <cols>
    <col min="1" max="1" width="12" bestFit="1" customWidth="1"/>
    <col min="2" max="2" width="7.90625" bestFit="1" customWidth="1"/>
    <col min="3" max="3" width="8.1796875" bestFit="1" customWidth="1"/>
    <col min="4" max="4" width="8.36328125" bestFit="1" customWidth="1"/>
    <col min="6" max="6" width="10.1796875" bestFit="1" customWidth="1"/>
    <col min="7" max="7" width="10.6328125" bestFit="1" customWidth="1"/>
    <col min="8" max="8" width="12.1796875" bestFit="1" customWidth="1"/>
    <col min="9" max="9" width="9.54296875" bestFit="1" customWidth="1"/>
    <col min="10" max="10" width="15.81640625" bestFit="1" customWidth="1"/>
    <col min="11" max="11" width="13.36328125" bestFit="1" customWidth="1"/>
    <col min="12" max="12" width="19.81640625" bestFit="1" customWidth="1"/>
    <col min="13" max="13" width="12.453125" bestFit="1" customWidth="1"/>
    <col min="14" max="14" width="12.453125" style="4" customWidth="1"/>
    <col min="15" max="15" width="21.90625" customWidth="1"/>
    <col min="16" max="16" width="16.08984375" customWidth="1"/>
  </cols>
  <sheetData>
    <row r="1" spans="1:16" x14ac:dyDescent="0.35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175</v>
      </c>
      <c r="O1" s="4" t="s">
        <v>78</v>
      </c>
      <c r="P1" s="4" t="s">
        <v>144</v>
      </c>
    </row>
    <row r="2" spans="1:16" ht="29" x14ac:dyDescent="0.35">
      <c r="A2" s="3" t="s">
        <v>51</v>
      </c>
      <c r="B2" s="3">
        <v>28</v>
      </c>
      <c r="C2" s="3">
        <v>999</v>
      </c>
      <c r="D2" s="3">
        <v>0</v>
      </c>
      <c r="E2" s="3">
        <v>6</v>
      </c>
      <c r="F2" s="3">
        <v>2500</v>
      </c>
      <c r="G2" s="3">
        <v>99999</v>
      </c>
      <c r="H2" s="3"/>
      <c r="I2" s="3"/>
      <c r="J2" s="3"/>
      <c r="K2" s="3"/>
      <c r="L2" s="3">
        <v>0</v>
      </c>
      <c r="M2" s="3">
        <v>1</v>
      </c>
      <c r="O2" s="3" t="s">
        <v>80</v>
      </c>
      <c r="P2" s="3" t="s">
        <v>145</v>
      </c>
    </row>
    <row r="3" spans="1:16" ht="29" x14ac:dyDescent="0.35">
      <c r="A3" s="3" t="s">
        <v>52</v>
      </c>
      <c r="B3" s="3">
        <v>15</v>
      </c>
      <c r="C3" s="3">
        <v>999</v>
      </c>
      <c r="D3" s="3">
        <v>0</v>
      </c>
      <c r="E3" s="3">
        <v>25</v>
      </c>
      <c r="F3" s="3"/>
      <c r="G3" s="3"/>
      <c r="H3" s="3"/>
      <c r="I3" s="3"/>
      <c r="J3" s="3"/>
      <c r="K3" s="3"/>
      <c r="L3" s="3">
        <v>0</v>
      </c>
      <c r="M3" s="3">
        <v>0</v>
      </c>
      <c r="O3" s="3" t="s">
        <v>80</v>
      </c>
      <c r="P3" s="3" t="s">
        <v>146</v>
      </c>
    </row>
    <row r="4" spans="1:16" ht="29" x14ac:dyDescent="0.35">
      <c r="A4" s="3" t="s">
        <v>53</v>
      </c>
      <c r="B4" s="3"/>
      <c r="C4" s="3"/>
      <c r="D4" s="3"/>
      <c r="E4" s="3"/>
      <c r="F4" s="3"/>
      <c r="G4" s="3"/>
      <c r="H4" s="3">
        <v>70</v>
      </c>
      <c r="I4" s="3">
        <v>50</v>
      </c>
      <c r="J4" s="3">
        <v>70000</v>
      </c>
      <c r="K4" s="3">
        <v>500</v>
      </c>
      <c r="L4" s="3">
        <v>0</v>
      </c>
      <c r="M4" s="3">
        <v>0</v>
      </c>
      <c r="O4" s="3" t="s">
        <v>147</v>
      </c>
      <c r="P4" s="3" t="s">
        <v>148</v>
      </c>
    </row>
    <row r="5" spans="1:16" ht="29" x14ac:dyDescent="0.35">
      <c r="A5" s="3" t="s">
        <v>54</v>
      </c>
      <c r="B5" s="3"/>
      <c r="C5" s="3"/>
      <c r="D5" s="3"/>
      <c r="E5" s="3"/>
      <c r="F5" s="3"/>
      <c r="G5" s="3"/>
      <c r="H5" s="3">
        <v>110</v>
      </c>
      <c r="I5" s="3">
        <v>50</v>
      </c>
      <c r="J5" s="3">
        <v>250000</v>
      </c>
      <c r="K5" s="3"/>
      <c r="L5" s="3">
        <v>0</v>
      </c>
      <c r="M5" s="3">
        <v>0</v>
      </c>
      <c r="O5" s="3" t="s">
        <v>96</v>
      </c>
      <c r="P5" s="3" t="s">
        <v>149</v>
      </c>
    </row>
    <row r="6" spans="1:16" ht="29" x14ac:dyDescent="0.35">
      <c r="A6" s="3" t="s">
        <v>55</v>
      </c>
      <c r="B6" s="3">
        <v>20</v>
      </c>
      <c r="C6" s="3">
        <v>999</v>
      </c>
      <c r="D6" s="3">
        <v>0</v>
      </c>
      <c r="E6" s="3">
        <v>20</v>
      </c>
      <c r="F6" s="3"/>
      <c r="G6" s="3"/>
      <c r="H6" s="3">
        <v>100</v>
      </c>
      <c r="I6" s="3"/>
      <c r="J6" s="3">
        <v>50000</v>
      </c>
      <c r="K6" s="3">
        <v>200</v>
      </c>
      <c r="L6" s="3">
        <v>0</v>
      </c>
      <c r="M6" s="3">
        <v>0</v>
      </c>
      <c r="O6" s="3" t="s">
        <v>88</v>
      </c>
      <c r="P6" s="3" t="s">
        <v>150</v>
      </c>
    </row>
    <row r="7" spans="1:16" ht="29" x14ac:dyDescent="0.35">
      <c r="A7" s="3" t="s">
        <v>56</v>
      </c>
      <c r="B7" s="3">
        <v>22</v>
      </c>
      <c r="C7" s="3">
        <v>999</v>
      </c>
      <c r="D7" s="3">
        <v>0</v>
      </c>
      <c r="E7" s="3">
        <v>30</v>
      </c>
      <c r="F7" s="3"/>
      <c r="G7" s="3"/>
      <c r="H7" s="3">
        <v>90</v>
      </c>
      <c r="I7" s="3"/>
      <c r="J7" s="3">
        <v>10000</v>
      </c>
      <c r="K7" s="3">
        <v>50</v>
      </c>
      <c r="L7" s="3">
        <v>1</v>
      </c>
      <c r="M7" s="3">
        <v>0</v>
      </c>
      <c r="O7" s="3" t="s">
        <v>151</v>
      </c>
      <c r="P7" s="3" t="s">
        <v>152</v>
      </c>
    </row>
    <row r="8" spans="1:16" ht="29" x14ac:dyDescent="0.35">
      <c r="A8" s="3" t="s">
        <v>57</v>
      </c>
      <c r="B8" s="3">
        <v>0</v>
      </c>
      <c r="C8" s="3">
        <v>999</v>
      </c>
      <c r="D8" s="3">
        <v>100</v>
      </c>
      <c r="E8" s="3">
        <v>999999</v>
      </c>
      <c r="F8" s="3">
        <v>0</v>
      </c>
      <c r="G8" s="3">
        <v>3000</v>
      </c>
      <c r="H8" s="3"/>
      <c r="I8" s="3">
        <v>500</v>
      </c>
      <c r="J8" s="3"/>
      <c r="K8" s="3"/>
      <c r="L8" s="3">
        <v>0</v>
      </c>
      <c r="M8" s="3">
        <v>0</v>
      </c>
      <c r="O8" s="3" t="s">
        <v>153</v>
      </c>
      <c r="P8" s="3" t="s">
        <v>154</v>
      </c>
    </row>
    <row r="9" spans="1:16" ht="29" x14ac:dyDescent="0.35">
      <c r="A9" s="3" t="s">
        <v>58</v>
      </c>
      <c r="B9" s="3">
        <v>0</v>
      </c>
      <c r="C9" s="3">
        <v>999</v>
      </c>
      <c r="D9" s="3">
        <v>100</v>
      </c>
      <c r="E9" s="3">
        <v>999999</v>
      </c>
      <c r="F9" s="3">
        <v>0</v>
      </c>
      <c r="G9" s="3">
        <v>3000</v>
      </c>
      <c r="H9" s="3"/>
      <c r="I9" s="3">
        <v>1000</v>
      </c>
      <c r="J9" s="3"/>
      <c r="K9" s="3"/>
      <c r="L9" s="3">
        <v>0</v>
      </c>
      <c r="M9" s="3">
        <v>0</v>
      </c>
      <c r="O9" s="3" t="s">
        <v>153</v>
      </c>
      <c r="P9" s="3" t="s">
        <v>155</v>
      </c>
    </row>
    <row r="10" spans="1:16" ht="29" x14ac:dyDescent="0.35">
      <c r="A10" s="3" t="s">
        <v>59</v>
      </c>
      <c r="B10" s="3">
        <v>0</v>
      </c>
      <c r="C10" s="3">
        <v>999</v>
      </c>
      <c r="D10" s="3">
        <v>10</v>
      </c>
      <c r="E10" s="3">
        <v>200</v>
      </c>
      <c r="F10" s="3"/>
      <c r="G10" s="3"/>
      <c r="H10" s="3"/>
      <c r="I10" s="3">
        <v>200</v>
      </c>
      <c r="J10" s="3"/>
      <c r="K10" s="3"/>
      <c r="L10" s="3">
        <v>0</v>
      </c>
      <c r="M10" s="3">
        <v>0</v>
      </c>
      <c r="O10" s="3" t="s">
        <v>80</v>
      </c>
      <c r="P10" s="3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5" x14ac:dyDescent="0.35"/>
  <cols>
    <col min="1" max="5" width="24" customWidth="1"/>
  </cols>
  <sheetData>
    <row r="1" spans="1:4" x14ac:dyDescent="0.35">
      <c r="A1" t="s">
        <v>117</v>
      </c>
      <c r="B1" t="s">
        <v>26</v>
      </c>
      <c r="C1" t="s">
        <v>118</v>
      </c>
      <c r="D1" t="s">
        <v>119</v>
      </c>
    </row>
    <row r="2" spans="1:4" x14ac:dyDescent="0.35">
      <c r="A2" t="s">
        <v>22</v>
      </c>
      <c r="B2" t="s">
        <v>120</v>
      </c>
      <c r="C2" t="s">
        <v>30</v>
      </c>
      <c r="D2" t="s">
        <v>38</v>
      </c>
    </row>
    <row r="3" spans="1:4" x14ac:dyDescent="0.35">
      <c r="A3" t="s">
        <v>121</v>
      </c>
      <c r="B3" t="s">
        <v>27</v>
      </c>
      <c r="C3" t="s">
        <v>122</v>
      </c>
      <c r="D3" t="s">
        <v>123</v>
      </c>
    </row>
    <row r="4" spans="1:4" x14ac:dyDescent="0.35">
      <c r="B4" t="s">
        <v>124</v>
      </c>
      <c r="D4" t="s">
        <v>125</v>
      </c>
    </row>
    <row r="5" spans="1:4" x14ac:dyDescent="0.35">
      <c r="D5" t="s">
        <v>126</v>
      </c>
    </row>
    <row r="6" spans="1:4" x14ac:dyDescent="0.35">
      <c r="D6" t="s">
        <v>127</v>
      </c>
    </row>
    <row r="7" spans="1:4" x14ac:dyDescent="0.35">
      <c r="D7" t="s">
        <v>128</v>
      </c>
    </row>
    <row r="8" spans="1:4" x14ac:dyDescent="0.35">
      <c r="D8" t="s">
        <v>129</v>
      </c>
    </row>
    <row r="9" spans="1:4" x14ac:dyDescent="0.35">
      <c r="D9" t="s">
        <v>130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InputData</vt:lpstr>
      <vt:lpstr>Screening</vt:lpstr>
      <vt:lpstr>Ranking</vt:lpstr>
      <vt:lpstr>Summary</vt:lpstr>
      <vt:lpstr>Criteria</vt:lpstr>
      <vt:lpstr>PBI Criteria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 Nabiel Izzuddin Radzuan (Dev/Upstream)</cp:lastModifiedBy>
  <cp:revision/>
  <dcterms:created xsi:type="dcterms:W3CDTF">2025-11-14T04:18:57Z</dcterms:created>
  <dcterms:modified xsi:type="dcterms:W3CDTF">2026-02-26T02:06:27Z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2025-11-14T04:53:46Z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6663d20b-4879-4f56-8ea8-bdfbc4b88043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