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26" documentId="13_ncr:1_{0583BBC6-1BE0-4963-8368-D6A6195E5645}" xr6:coauthVersionLast="47" xr6:coauthVersionMax="47" xr10:uidLastSave="{6E234F03-3420-4AAB-9F42-73FFD2E00E5E}"/>
  <bookViews>
    <workbookView xWindow="-110" yWindow="-110" windowWidth="19420" windowHeight="10300" firstSheet="1" activeTab="2" xr2:uid="{00000000-000D-0000-FFFF-FFFF00000000}"/>
  </bookViews>
  <sheets>
    <sheet name="EOR Screening Input" sheetId="3" r:id="rId1"/>
    <sheet name="Criteria for PBI" sheetId="5" r:id="rId2"/>
    <sheet name="EOR Screening Result" sheetId="4" r:id="rId3"/>
    <sheet name="EOR Screening" sheetId="1" r:id="rId4"/>
    <sheet name="Criteria (Ref)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C10" i="4"/>
  <c r="D9" i="4"/>
  <c r="C9" i="4"/>
  <c r="D8" i="4"/>
  <c r="C8" i="4"/>
  <c r="D7" i="4"/>
  <c r="C7" i="4"/>
  <c r="B7" i="4" s="1"/>
  <c r="D6" i="4"/>
  <c r="C6" i="4"/>
  <c r="D5" i="4"/>
  <c r="C5" i="4"/>
  <c r="B9" i="4" s="1"/>
  <c r="D4" i="4"/>
  <c r="C4" i="4"/>
  <c r="D3" i="4"/>
  <c r="C3" i="4"/>
  <c r="B3" i="4"/>
  <c r="D2" i="4"/>
  <c r="C2" i="4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4" i="4" l="1"/>
  <c r="B8" i="4"/>
  <c r="B5" i="4"/>
  <c r="B2" i="4"/>
  <c r="B6" i="4"/>
  <c r="B10" i="4"/>
</calcChain>
</file>

<file path=xl/sharedStrings.xml><?xml version="1.0" encoding="utf-8"?>
<sst xmlns="http://schemas.openxmlformats.org/spreadsheetml/2006/main" count="268" uniqueCount="125">
  <si>
    <t>Input</t>
  </si>
  <si>
    <t>Guidance</t>
  </si>
  <si>
    <t>Value</t>
  </si>
  <si>
    <t>Helper (do not edit)</t>
  </si>
  <si>
    <t>Reservoir Type</t>
  </si>
  <si>
    <t>Dropdown: Sandstone / Carbonate / Other</t>
  </si>
  <si>
    <t>Sandstone</t>
  </si>
  <si>
    <t>api</t>
  </si>
  <si>
    <t>Oil Gravity (°API)</t>
  </si>
  <si>
    <t>Numeric</t>
  </si>
  <si>
    <t>visc</t>
  </si>
  <si>
    <t>Oil Viscosity (cp)</t>
  </si>
  <si>
    <t>depth</t>
  </si>
  <si>
    <t>Reservoir Depth (ft)</t>
  </si>
  <si>
    <t>temp</t>
  </si>
  <si>
    <t>Reservoir Temperature (°F)</t>
  </si>
  <si>
    <t>netpay</t>
  </si>
  <si>
    <t>Net Pay (ft)</t>
  </si>
  <si>
    <t>perm</t>
  </si>
  <si>
    <t>Average Permeability (md)</t>
  </si>
  <si>
    <t>sor</t>
  </si>
  <si>
    <t>Initial Oil Saturation (%PV)</t>
  </si>
  <si>
    <t>phi</t>
  </si>
  <si>
    <t>Porosity (%)</t>
  </si>
  <si>
    <t>pres</t>
  </si>
  <si>
    <t>Reservoir Pressure (psia)</t>
  </si>
  <si>
    <t>dip</t>
  </si>
  <si>
    <t>Reservoir Dip (Yes=1/No=0)</t>
  </si>
  <si>
    <t>Numeric 0/1</t>
  </si>
  <si>
    <t>cl</t>
  </si>
  <si>
    <t>Brine Chloride (ppm)</t>
  </si>
  <si>
    <t>div</t>
  </si>
  <si>
    <t>Divalent Ions Ca+Mg (ppm)</t>
  </si>
  <si>
    <t>rtype</t>
  </si>
  <si>
    <t>EOR Method</t>
  </si>
  <si>
    <t>PASS/FAIL</t>
  </si>
  <si>
    <t>Notes</t>
  </si>
  <si>
    <t>CO2 (miscible)</t>
  </si>
  <si>
    <t>Depth must exceed MMP requirement; typical 2,500–4,000 ft depending on API.</t>
  </si>
  <si>
    <t>CO2 (immiscible)</t>
  </si>
  <si>
    <t>At &lt;1,800 ft fails; recovery lower than miscible.</t>
  </si>
  <si>
    <t>Hydrocarbon gas (miscible)</t>
  </si>
  <si>
    <t>Depth set by MMP (oil &amp; temperature dependent).</t>
  </si>
  <si>
    <t>Nitrogen/Flue gas (miscible)</t>
  </si>
  <si>
    <t>Prefers dipping reservoirs for gravity stabilization.</t>
  </si>
  <si>
    <t>Polymer flooding</t>
  </si>
  <si>
    <t>HPAM/xanthan; salinity-sensitive; higher success at high perm &amp; low temp.</t>
  </si>
  <si>
    <t>ASP / Surfactant (micellar/alkaline/ASP)</t>
  </si>
  <si>
    <t>Sandstones preferred; typical FW limits: Cl- &lt;20,000 ppm; Ca+Mg &lt;500 ppm.</t>
  </si>
  <si>
    <t>Steamflood</t>
  </si>
  <si>
    <t>Net pay &gt;20 ft; high transmissibility; shallow preferred.</t>
  </si>
  <si>
    <t>In-situ combustion</t>
  </si>
  <si>
    <t>Requires favorable fuel deposition; complex operations.</t>
  </si>
  <si>
    <t>SAGD / Thermal (heavy bitumen)</t>
  </si>
  <si>
    <t>Horizontal well pairs; steam-solvent variants possible.</t>
  </si>
  <si>
    <t>New in v8: Porosity (%) and Reservoir Pressure (psia) are captured as inputs. They generate amber advisories per method (soft checks) without altering PASS/FAIL. For miscible gas, verify reservoir pressure ≥ minimum miscibility pressure (MMP) for your crude—use lab/SLR correlations. For polymer/ASP/thermal, low porosity may reduce injectivity/sweep and operational feasibility. Use Sheet2 for thresholds &amp; references.</t>
  </si>
  <si>
    <t>API (°API)</t>
  </si>
  <si>
    <t>Viscosity (cp)</t>
  </si>
  <si>
    <t>Depth (ft)</t>
  </si>
  <si>
    <t>Temp (°F)</t>
  </si>
  <si>
    <t>Perm (md)</t>
  </si>
  <si>
    <t>Oil Sat (%PV)</t>
  </si>
  <si>
    <t>Porosity (soft)</t>
  </si>
  <si>
    <t>Pressure (soft)</t>
  </si>
  <si>
    <t>Key Notes / Source</t>
  </si>
  <si>
    <t>≥22</t>
  </si>
  <si>
    <t>≤10</t>
  </si>
  <si>
    <t>API-dependent (≥2,500–4,000)</t>
  </si>
  <si>
    <t>NC</t>
  </si>
  <si>
    <t>≥20</t>
  </si>
  <si>
    <t>Verify MMP vs P_res (miscible gas)</t>
  </si>
  <si>
    <t>≥13</t>
  </si>
  <si>
    <t>≤600</t>
  </si>
  <si>
    <t>≥1800</t>
  </si>
  <si>
    <t>≥35</t>
  </si>
  <si>
    <t>≥23</t>
  </si>
  <si>
    <t>≤3</t>
  </si>
  <si>
    <t>≥4000</t>
  </si>
  <si>
    <t>≥30</t>
  </si>
  <si>
    <t>≤0.4</t>
  </si>
  <si>
    <t>≥6000</t>
  </si>
  <si>
    <t>≥40</t>
  </si>
  <si>
    <t>≥15</t>
  </si>
  <si>
    <t>10–150</t>
  </si>
  <si>
    <t>≤9000</t>
  </si>
  <si>
    <t>≤200</t>
  </si>
  <si>
    <t>≥10</t>
  </si>
  <si>
    <t>≥50</t>
  </si>
  <si>
    <t>≥15% (advisory)</t>
  </si>
  <si>
    <t>≤35</t>
  </si>
  <si>
    <t>8–25</t>
  </si>
  <si>
    <t>≤100000</t>
  </si>
  <si>
    <t>≤5000</t>
  </si>
  <si>
    <t>≥200</t>
  </si>
  <si>
    <t>≥20% (advisory)</t>
  </si>
  <si>
    <t>Steam/SAGD: ensure injectivity</t>
  </si>
  <si>
    <t>10–27</t>
  </si>
  <si>
    <t>≤11500</t>
  </si>
  <si>
    <t>≥100</t>
  </si>
  <si>
    <t>7–15</t>
  </si>
  <si>
    <t>1000–200000</t>
  </si>
  <si>
    <t>≤4500</t>
  </si>
  <si>
    <t>≥1000</t>
  </si>
  <si>
    <t>≥30% (advisory)</t>
  </si>
  <si>
    <t>Primary References (see attached SPE papers in chat): Taber, Martin &amp; Seright 1997 SPE-35385; Taber &amp; Martin 1997 SPE-39234.</t>
  </si>
  <si>
    <t>Reason</t>
  </si>
  <si>
    <t>Advisory</t>
  </si>
  <si>
    <t>EOR Screening Tool (Taber et al. baseline)</t>
  </si>
  <si>
    <t>API_Min</t>
  </si>
  <si>
    <t>API_Max</t>
  </si>
  <si>
    <t>Visc_Min</t>
  </si>
  <si>
    <t>Visc_Max</t>
  </si>
  <si>
    <t>Depth_Min</t>
  </si>
  <si>
    <t>Depth_Max</t>
  </si>
  <si>
    <t>Temp_Min</t>
  </si>
  <si>
    <t>Temp_Max</t>
  </si>
  <si>
    <t>Perm_Min</t>
  </si>
  <si>
    <t>OilSat_Min</t>
  </si>
  <si>
    <t>Porosity_Min_Soft</t>
  </si>
  <si>
    <t>NetPay_Min</t>
  </si>
  <si>
    <t>Chloride_Max</t>
  </si>
  <si>
    <t>Divalent_Max</t>
  </si>
  <si>
    <t>PrefersSandstone</t>
  </si>
  <si>
    <t>Key_Notes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</si>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</sst>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4" borderId="1" xfId="0" applyFont="1" applyFill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9" defaultPivotStyle="PivotStyleLight16">
    <tableStyle name="Invisible" pivot="0" table="0" count="0" xr9:uid="{237A5E79-F83F-4491-BF6D-97E6088D5441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BE7C-2BB7-40C7-AE79-9B095DD20B71}">
  <dimension ref="A1:C14"/>
  <sheetViews>
    <sheetView workbookViewId="0">
      <selection activeCell="C3" sqref="C3"/>
    </sheetView>
  </sheetViews>
  <sheetFormatPr defaultRowHeight="14.5" x14ac:dyDescent="0.35"/>
  <cols>
    <col min="1" max="1" width="23.90625" bestFit="1" customWidth="1"/>
    <col min="2" max="2" width="37" bestFit="1" customWidth="1"/>
    <col min="3" max="3" width="9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B2" s="2" t="s">
        <v>5</v>
      </c>
      <c r="C2" s="6" t="s">
        <v>6</v>
      </c>
    </row>
    <row r="3" spans="1:3" x14ac:dyDescent="0.35">
      <c r="A3" s="2" t="s">
        <v>8</v>
      </c>
      <c r="B3" s="2" t="s">
        <v>9</v>
      </c>
      <c r="C3" s="8">
        <v>32</v>
      </c>
    </row>
    <row r="4" spans="1:3" x14ac:dyDescent="0.35">
      <c r="A4" s="2" t="s">
        <v>11</v>
      </c>
      <c r="B4" s="2" t="s">
        <v>9</v>
      </c>
      <c r="C4" s="8">
        <v>5</v>
      </c>
    </row>
    <row r="5" spans="1:3" x14ac:dyDescent="0.35">
      <c r="A5" s="2" t="s">
        <v>13</v>
      </c>
      <c r="B5" s="2" t="s">
        <v>9</v>
      </c>
      <c r="C5" s="8">
        <v>3500</v>
      </c>
    </row>
    <row r="6" spans="1:3" x14ac:dyDescent="0.35">
      <c r="A6" s="2" t="s">
        <v>15</v>
      </c>
      <c r="B6" s="2" t="s">
        <v>9</v>
      </c>
      <c r="C6" s="8">
        <v>140</v>
      </c>
    </row>
    <row r="7" spans="1:3" x14ac:dyDescent="0.35">
      <c r="A7" s="2" t="s">
        <v>17</v>
      </c>
      <c r="B7" s="2" t="s">
        <v>9</v>
      </c>
      <c r="C7" s="8">
        <v>50</v>
      </c>
    </row>
    <row r="8" spans="1:3" x14ac:dyDescent="0.35">
      <c r="A8" s="2" t="s">
        <v>19</v>
      </c>
      <c r="B8" s="2" t="s">
        <v>9</v>
      </c>
      <c r="C8" s="8">
        <v>500</v>
      </c>
    </row>
    <row r="9" spans="1:3" x14ac:dyDescent="0.35">
      <c r="A9" s="2" t="s">
        <v>21</v>
      </c>
      <c r="B9" s="2" t="s">
        <v>9</v>
      </c>
      <c r="C9" s="8">
        <v>60</v>
      </c>
    </row>
    <row r="10" spans="1:3" x14ac:dyDescent="0.35">
      <c r="A10" s="2" t="s">
        <v>23</v>
      </c>
      <c r="B10" s="2" t="s">
        <v>9</v>
      </c>
      <c r="C10" s="8">
        <v>25</v>
      </c>
    </row>
    <row r="11" spans="1:3" x14ac:dyDescent="0.35">
      <c r="A11" s="2" t="s">
        <v>25</v>
      </c>
      <c r="B11" s="2" t="s">
        <v>9</v>
      </c>
      <c r="C11" s="8">
        <v>3000</v>
      </c>
    </row>
    <row r="12" spans="1:3" x14ac:dyDescent="0.35">
      <c r="A12" s="2" t="s">
        <v>27</v>
      </c>
      <c r="B12" s="2" t="s">
        <v>28</v>
      </c>
      <c r="C12" s="8">
        <v>1</v>
      </c>
    </row>
    <row r="13" spans="1:3" x14ac:dyDescent="0.35">
      <c r="A13" s="2" t="s">
        <v>30</v>
      </c>
      <c r="B13" s="2" t="s">
        <v>9</v>
      </c>
      <c r="C13" s="8">
        <v>15000</v>
      </c>
    </row>
    <row r="14" spans="1:3" x14ac:dyDescent="0.35">
      <c r="A14" s="2" t="s">
        <v>32</v>
      </c>
      <c r="B14" s="2" t="s">
        <v>9</v>
      </c>
      <c r="C14" s="8">
        <v>300</v>
      </c>
    </row>
  </sheetData>
  <dataValidations count="2">
    <dataValidation type="decimal" allowBlank="1" showInputMessage="1" showErrorMessage="1" sqref="C3:C13" xr:uid="{04FD2CA0-E9F0-4709-80C2-15276E6F62D8}">
      <formula1>-1000000000</formula1>
      <formula2>1000000000</formula2>
    </dataValidation>
    <dataValidation type="list" allowBlank="1" showInputMessage="1" showErrorMessage="1" sqref="C2" xr:uid="{E9ED208C-91DB-4888-9BA8-3F06FD75928F}">
      <formula1>"Sandstone,Carbonate,Other"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2AB-D7D5-4682-9663-8A84ADA4EBD1}">
  <dimension ref="A1:S10"/>
  <sheetViews>
    <sheetView workbookViewId="0">
      <selection activeCell="Q2" sqref="Q2"/>
    </sheetView>
  </sheetViews>
  <sheetFormatPr defaultRowHeight="14.5" x14ac:dyDescent="0.35"/>
  <sheetData>
    <row r="1" spans="1:19" ht="29" x14ac:dyDescent="0.35">
      <c r="A1" s="10" t="s">
        <v>34</v>
      </c>
      <c r="B1" s="10" t="s">
        <v>108</v>
      </c>
      <c r="C1" s="10" t="s">
        <v>109</v>
      </c>
      <c r="D1" s="10" t="s">
        <v>110</v>
      </c>
      <c r="E1" s="10" t="s">
        <v>111</v>
      </c>
      <c r="F1" s="10" t="s">
        <v>112</v>
      </c>
      <c r="G1" s="10" t="s">
        <v>113</v>
      </c>
      <c r="H1" s="10" t="s">
        <v>114</v>
      </c>
      <c r="I1" s="10" t="s">
        <v>115</v>
      </c>
      <c r="J1" s="10" t="s">
        <v>116</v>
      </c>
      <c r="K1" s="10" t="s">
        <v>117</v>
      </c>
      <c r="L1" s="10" t="s">
        <v>118</v>
      </c>
      <c r="M1" s="10" t="s">
        <v>119</v>
      </c>
      <c r="N1" s="10" t="s">
        <v>120</v>
      </c>
      <c r="O1" s="10" t="s">
        <v>121</v>
      </c>
      <c r="P1" s="10" t="s">
        <v>122</v>
      </c>
      <c r="Q1" s="10" t="s">
        <v>123</v>
      </c>
      <c r="R1" s="10" t="s">
        <v>124</v>
      </c>
      <c r="S1" s="10" t="s">
        <v>106</v>
      </c>
    </row>
    <row r="2" spans="1:19" ht="159.5" x14ac:dyDescent="0.35">
      <c r="A2" s="11" t="s">
        <v>37</v>
      </c>
      <c r="B2" s="11">
        <v>22</v>
      </c>
      <c r="C2" s="11">
        <v>999</v>
      </c>
      <c r="D2" s="11">
        <v>0</v>
      </c>
      <c r="E2" s="11">
        <v>10</v>
      </c>
      <c r="F2" s="11">
        <v>2500</v>
      </c>
      <c r="G2" s="11">
        <v>99999</v>
      </c>
      <c r="H2" s="11"/>
      <c r="I2" s="11"/>
      <c r="J2" s="11"/>
      <c r="K2" s="11">
        <v>20</v>
      </c>
      <c r="L2" s="11"/>
      <c r="M2" s="11"/>
      <c r="N2" s="11"/>
      <c r="O2" s="11"/>
      <c r="P2" s="11">
        <v>0</v>
      </c>
      <c r="Q2" s="11" t="s">
        <v>70</v>
      </c>
      <c r="R2" s="11"/>
      <c r="S2" s="11" t="s">
        <v>38</v>
      </c>
    </row>
    <row r="3" spans="1:19" ht="87" x14ac:dyDescent="0.35">
      <c r="A3" s="11" t="s">
        <v>39</v>
      </c>
      <c r="B3" s="11">
        <v>13</v>
      </c>
      <c r="C3" s="11">
        <v>999</v>
      </c>
      <c r="D3" s="11">
        <v>0</v>
      </c>
      <c r="E3" s="11">
        <v>600</v>
      </c>
      <c r="F3" s="11">
        <v>1800</v>
      </c>
      <c r="G3" s="11">
        <v>99999</v>
      </c>
      <c r="H3" s="11"/>
      <c r="I3" s="11"/>
      <c r="J3" s="11"/>
      <c r="K3" s="11">
        <v>35</v>
      </c>
      <c r="L3" s="11"/>
      <c r="M3" s="11"/>
      <c r="N3" s="11"/>
      <c r="O3" s="11"/>
      <c r="P3" s="11">
        <v>0</v>
      </c>
      <c r="Q3" s="11" t="s">
        <v>70</v>
      </c>
      <c r="R3" s="11"/>
      <c r="S3" s="11" t="s">
        <v>40</v>
      </c>
    </row>
    <row r="4" spans="1:19" ht="116" x14ac:dyDescent="0.35">
      <c r="A4" s="11" t="s">
        <v>41</v>
      </c>
      <c r="B4" s="11">
        <v>23</v>
      </c>
      <c r="C4" s="11">
        <v>999</v>
      </c>
      <c r="D4" s="11">
        <v>0</v>
      </c>
      <c r="E4" s="11">
        <v>3</v>
      </c>
      <c r="F4" s="11">
        <v>4000</v>
      </c>
      <c r="G4" s="11">
        <v>99999</v>
      </c>
      <c r="H4" s="11"/>
      <c r="I4" s="11"/>
      <c r="J4" s="11"/>
      <c r="K4" s="11">
        <v>30</v>
      </c>
      <c r="L4" s="11"/>
      <c r="M4" s="11"/>
      <c r="N4" s="11"/>
      <c r="O4" s="11"/>
      <c r="P4" s="11">
        <v>0</v>
      </c>
      <c r="Q4" s="11" t="s">
        <v>70</v>
      </c>
      <c r="R4" s="11"/>
      <c r="S4" s="11" t="s">
        <v>42</v>
      </c>
    </row>
    <row r="5" spans="1:19" ht="101.5" x14ac:dyDescent="0.35">
      <c r="A5" s="11" t="s">
        <v>43</v>
      </c>
      <c r="B5" s="11">
        <v>35</v>
      </c>
      <c r="C5" s="11">
        <v>999</v>
      </c>
      <c r="D5" s="11">
        <v>0</v>
      </c>
      <c r="E5" s="11">
        <v>0.4</v>
      </c>
      <c r="F5" s="11">
        <v>6000</v>
      </c>
      <c r="G5" s="11">
        <v>99999</v>
      </c>
      <c r="H5" s="11"/>
      <c r="I5" s="11"/>
      <c r="J5" s="11"/>
      <c r="K5" s="11">
        <v>40</v>
      </c>
      <c r="L5" s="11"/>
      <c r="M5" s="11"/>
      <c r="N5" s="11"/>
      <c r="O5" s="11"/>
      <c r="P5" s="11">
        <v>0</v>
      </c>
      <c r="Q5" s="11" t="s">
        <v>70</v>
      </c>
      <c r="R5" s="11"/>
      <c r="S5" s="11" t="s">
        <v>44</v>
      </c>
    </row>
    <row r="6" spans="1:19" ht="145" x14ac:dyDescent="0.35">
      <c r="A6" s="11" t="s">
        <v>45</v>
      </c>
      <c r="B6" s="11">
        <v>15</v>
      </c>
      <c r="C6" s="11">
        <v>999</v>
      </c>
      <c r="D6" s="11">
        <v>10</v>
      </c>
      <c r="E6" s="11">
        <v>150</v>
      </c>
      <c r="F6" s="11">
        <v>0</v>
      </c>
      <c r="G6" s="11">
        <v>9000</v>
      </c>
      <c r="H6" s="11">
        <v>0</v>
      </c>
      <c r="I6" s="11">
        <v>200</v>
      </c>
      <c r="J6" s="11">
        <v>10</v>
      </c>
      <c r="K6" s="11">
        <v>50</v>
      </c>
      <c r="L6" s="11">
        <v>15</v>
      </c>
      <c r="M6" s="11"/>
      <c r="N6" s="11"/>
      <c r="O6" s="11"/>
      <c r="P6" s="11">
        <v>0</v>
      </c>
      <c r="Q6" s="11"/>
      <c r="R6" s="11"/>
      <c r="S6" s="11" t="s">
        <v>46</v>
      </c>
    </row>
    <row r="7" spans="1:19" ht="159.5" x14ac:dyDescent="0.35">
      <c r="A7" s="11" t="s">
        <v>47</v>
      </c>
      <c r="B7" s="11">
        <v>20</v>
      </c>
      <c r="C7" s="11">
        <v>999</v>
      </c>
      <c r="D7" s="11">
        <v>0</v>
      </c>
      <c r="E7" s="11">
        <v>35</v>
      </c>
      <c r="F7" s="11">
        <v>0</v>
      </c>
      <c r="G7" s="11">
        <v>9000</v>
      </c>
      <c r="H7" s="11">
        <v>0</v>
      </c>
      <c r="I7" s="11">
        <v>200</v>
      </c>
      <c r="J7" s="11">
        <v>10</v>
      </c>
      <c r="K7" s="11">
        <v>35</v>
      </c>
      <c r="L7" s="11">
        <v>15</v>
      </c>
      <c r="M7" s="11"/>
      <c r="N7" s="11">
        <v>20000</v>
      </c>
      <c r="O7" s="11">
        <v>500</v>
      </c>
      <c r="P7" s="11">
        <v>1</v>
      </c>
      <c r="Q7" s="11"/>
      <c r="R7" s="11"/>
      <c r="S7" s="11" t="s">
        <v>48</v>
      </c>
    </row>
    <row r="8" spans="1:19" ht="116" x14ac:dyDescent="0.35">
      <c r="A8" s="11" t="s">
        <v>49</v>
      </c>
      <c r="B8" s="11">
        <v>8</v>
      </c>
      <c r="C8" s="11">
        <v>25</v>
      </c>
      <c r="D8" s="11">
        <v>0</v>
      </c>
      <c r="E8" s="11">
        <v>100000</v>
      </c>
      <c r="F8" s="11">
        <v>0</v>
      </c>
      <c r="G8" s="11">
        <v>5000</v>
      </c>
      <c r="H8" s="11"/>
      <c r="I8" s="11"/>
      <c r="J8" s="11">
        <v>200</v>
      </c>
      <c r="K8" s="11">
        <v>40</v>
      </c>
      <c r="L8" s="11">
        <v>20</v>
      </c>
      <c r="M8" s="11">
        <v>20</v>
      </c>
      <c r="N8" s="11"/>
      <c r="O8" s="11"/>
      <c r="P8" s="11">
        <v>0</v>
      </c>
      <c r="Q8" s="11" t="s">
        <v>95</v>
      </c>
      <c r="R8" s="11"/>
      <c r="S8" s="11" t="s">
        <v>50</v>
      </c>
    </row>
    <row r="9" spans="1:19" ht="116" x14ac:dyDescent="0.35">
      <c r="A9" s="11" t="s">
        <v>51</v>
      </c>
      <c r="B9" s="11">
        <v>10</v>
      </c>
      <c r="C9" s="11">
        <v>27</v>
      </c>
      <c r="D9" s="11">
        <v>0</v>
      </c>
      <c r="E9" s="11">
        <v>5000</v>
      </c>
      <c r="F9" s="11">
        <v>0</v>
      </c>
      <c r="G9" s="11">
        <v>11500</v>
      </c>
      <c r="H9" s="11">
        <v>100</v>
      </c>
      <c r="I9" s="11">
        <v>9999</v>
      </c>
      <c r="J9" s="11">
        <v>50</v>
      </c>
      <c r="K9" s="11">
        <v>50</v>
      </c>
      <c r="L9" s="11">
        <v>15</v>
      </c>
      <c r="M9" s="11"/>
      <c r="N9" s="11"/>
      <c r="O9" s="11"/>
      <c r="P9" s="11">
        <v>0</v>
      </c>
      <c r="Q9" s="11"/>
      <c r="R9" s="11"/>
      <c r="S9" s="11" t="s">
        <v>52</v>
      </c>
    </row>
    <row r="10" spans="1:19" ht="101.5" x14ac:dyDescent="0.35">
      <c r="A10" s="11" t="s">
        <v>53</v>
      </c>
      <c r="B10" s="11">
        <v>7</v>
      </c>
      <c r="C10" s="11">
        <v>15</v>
      </c>
      <c r="D10" s="11">
        <v>1000</v>
      </c>
      <c r="E10" s="11">
        <v>200000</v>
      </c>
      <c r="F10" s="11">
        <v>0</v>
      </c>
      <c r="G10" s="11">
        <v>4500</v>
      </c>
      <c r="H10" s="11"/>
      <c r="I10" s="11"/>
      <c r="J10" s="11">
        <v>1000</v>
      </c>
      <c r="K10" s="11">
        <v>40</v>
      </c>
      <c r="L10" s="11">
        <v>30</v>
      </c>
      <c r="M10" s="11"/>
      <c r="N10" s="11"/>
      <c r="O10" s="11"/>
      <c r="P10" s="11">
        <v>0</v>
      </c>
      <c r="Q10" s="11" t="s">
        <v>95</v>
      </c>
      <c r="R10" s="11"/>
      <c r="S10" s="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350E-EACB-427B-99A0-5B1D4B48C80B}">
  <dimension ref="A1:F16"/>
  <sheetViews>
    <sheetView tabSelected="1" topLeftCell="C1" workbookViewId="0">
      <selection activeCell="F8" sqref="F8"/>
    </sheetView>
  </sheetViews>
  <sheetFormatPr defaultRowHeight="14.5" x14ac:dyDescent="0.35"/>
  <cols>
    <col min="1" max="1" width="34.08984375" bestFit="1" customWidth="1"/>
    <col min="2" max="2" width="14.54296875" customWidth="1"/>
    <col min="3" max="3" width="13.90625" customWidth="1"/>
    <col min="4" max="4" width="14.08984375" customWidth="1"/>
    <col min="5" max="5" width="87.453125" customWidth="1"/>
    <col min="6" max="6" width="15.7265625" customWidth="1"/>
  </cols>
  <sheetData>
    <row r="1" spans="1:6" x14ac:dyDescent="0.35">
      <c r="A1" s="1" t="s">
        <v>34</v>
      </c>
      <c r="B1" s="1" t="s">
        <v>35</v>
      </c>
      <c r="C1" s="1" t="s">
        <v>105</v>
      </c>
      <c r="D1" s="1" t="s">
        <v>106</v>
      </c>
      <c r="E1" s="1" t="s">
        <v>36</v>
      </c>
      <c r="F1" s="1" t="s">
        <v>124</v>
      </c>
    </row>
    <row r="2" spans="1:6" x14ac:dyDescent="0.35">
      <c r="A2" s="2" t="s">
        <v>37</v>
      </c>
      <c r="B2" t="str">
        <f>IF(($C$5&gt;=22)*(IF($C$5&gt;40,IF($C$7&gt;=2500,1,0),IF(AND($C$5&gt;=32,$C$5&lt;40),IF($C$7&gt;=2800,1,0),IF(AND($C$5&gt;=28,$C$5&lt;32),IF($C$7&gt;=3300,1,0),IF(AND($C$5&gt;=22,$C$5&lt;28),IF($C$7&gt;=4000,1,0),0))))=1)*($C$6&lt;=10)*($C$11&gt;=20),"PASS","FAIL")</f>
        <v>FAIL</v>
      </c>
      <c r="C2" s="7" t="str">
        <f>IF($C$11&gt;=20,IF($C$6&lt;=10,IF(IF($C$5&gt;40,IF($C$7&gt;=2500,1,0),IF(AND($C$5&gt;=32,$C$5&lt;40),IF($C$7&gt;=2800,1,0),IF(AND($C$5&gt;=28,$C$5&lt;32),IF($C$7&gt;=3300,1,0),IF(AND($C$5&gt;=22,$C$5&lt;28),IF($C$7&gt;=4000,1,0),0))))=1,IF($C$5&gt;=22," ","API&lt;22"),"Depth below MMP threshold"),"Visc&gt;10"),"So&lt;20%")</f>
        <v>So&lt;20%</v>
      </c>
      <c r="D2" s="7" t="str">
        <f>IF($C$13&gt;0,"Check MMP vs P_res","")</f>
        <v/>
      </c>
      <c r="E2" s="4" t="s">
        <v>38</v>
      </c>
    </row>
    <row r="3" spans="1:6" x14ac:dyDescent="0.35">
      <c r="A3" s="2" t="s">
        <v>39</v>
      </c>
      <c r="B3" t="str">
        <f>IF(($C$5&gt;=13)*($C$7&gt;=1800)*($C$6&lt;=600)*($C$11&gt;=35),"PASS","FAIL")</f>
        <v>FAIL</v>
      </c>
      <c r="C3" s="7" t="str">
        <f>IF($C$11&gt;=35,IF($C$6&lt;=600,IF($C$7&gt;=1800,IF($C$5&gt;=13," ","API&lt;13"),"Depth&lt;1800"),"Visc&gt;600"),"So&lt;35%")</f>
        <v>So&lt;35%</v>
      </c>
      <c r="D3" s="7" t="str">
        <f>IF($C$13&gt;0,"Check MMP vs P_res","")</f>
        <v/>
      </c>
      <c r="E3" s="4" t="s">
        <v>40</v>
      </c>
    </row>
    <row r="4" spans="1:6" x14ac:dyDescent="0.35">
      <c r="A4" s="2" t="s">
        <v>41</v>
      </c>
      <c r="B4" t="str">
        <f>IF(($C$5&gt;=23)*($C$7&gt;=4000)*($C$6&lt;=3)*($C$11&gt;=30),"PASS","FAIL")</f>
        <v>FAIL</v>
      </c>
      <c r="C4" s="7" t="str">
        <f>IF($C$11&gt;=30,IF($C$6&lt;=3,IF($C$7&gt;=4000,IF($C$5&gt;=23," ","API&lt;23"),"Depth&lt;4000"),"Visc&gt;3"),"So&lt;30%")</f>
        <v>So&lt;30%</v>
      </c>
      <c r="D4" s="7" t="str">
        <f>IF($C$13&gt;0,"Check MMP vs P_res","")</f>
        <v/>
      </c>
      <c r="E4" s="4" t="s">
        <v>42</v>
      </c>
    </row>
    <row r="5" spans="1:6" x14ac:dyDescent="0.35">
      <c r="A5" s="2" t="s">
        <v>43</v>
      </c>
      <c r="B5" t="str">
        <f>IF(($C$5&gt;=35)*($C$7&gt;=6000)*($C$6&lt;=0.4)*($C$11&gt;=40),"PASS","FAIL")</f>
        <v>FAIL</v>
      </c>
      <c r="C5" s="7" t="str">
        <f>IF($C$11&gt;=40,IF($C$6&lt;=0.4,IF($C$7&gt;=6000,IF($C$5&gt;=35," ","API&lt;35"),"Depth&lt;6000"),"Visc&gt;0.4"),"So&lt;40%")</f>
        <v>So&lt;40%</v>
      </c>
      <c r="D5" s="7" t="str">
        <f>IF($C$13&gt;0,"Check MMP vs P_res","")</f>
        <v/>
      </c>
      <c r="E5" s="4" t="s">
        <v>44</v>
      </c>
    </row>
    <row r="6" spans="1:6" x14ac:dyDescent="0.35">
      <c r="A6" s="2" t="s">
        <v>45</v>
      </c>
      <c r="B6" t="str">
        <f>IF(($C$5&gt;=15)*($C$7&lt;=9000)*($C$6&gt;=10)*($C$6&lt;=150)*($C$10&gt;=10)*($C$8&lt;=200)*($C$11&gt;=50),"PASS","FAIL")</f>
        <v>FAIL</v>
      </c>
      <c r="C6" s="7" t="str">
        <f>IF($C$11&gt;=50,IF($C$8&lt;=200,IF($C$10&gt;=10,IF($C$6&lt;=150,IF($C$6&gt;=10,IF($C$7&lt;=9000,IF($C$5&gt;=15," ","API&lt;15"),"Depth&gt;9000"),"Visc&lt;10"),"Visc&gt;150"),"Perm&lt;10"),"Temp&gt;200"),"So&lt;50%")</f>
        <v>So&lt;50%</v>
      </c>
      <c r="D6" s="7" t="str">
        <f>IF($C$12&gt;=15,"","Porosity&lt;15%")</f>
        <v>Porosity&lt;15%</v>
      </c>
      <c r="E6" s="4" t="s">
        <v>46</v>
      </c>
    </row>
    <row r="7" spans="1:6" ht="29" x14ac:dyDescent="0.35">
      <c r="A7" s="2" t="s">
        <v>47</v>
      </c>
      <c r="B7" t="str">
        <f>IF(($C$5&gt;=20)*($C$7&lt;=9000)*($C$6&lt;=35)*($C$10&gt;=10)*($C$8&lt;=200)*($C$11&gt;=35)*($C$15&lt;=20000)*($C$16&lt;=500),"PASS","FAIL")</f>
        <v>FAIL</v>
      </c>
      <c r="C7" s="7" t="str">
        <f>IF($C$16&lt;=500,IF($C$15&lt;=20000,IF(OR($C$4="Sandstone",$C$4="Other"),IF($C$11&gt;=35,IF($C$8&lt;=200,IF($C$10&gt;=10,IF($C$6&lt;=35,IF($C$7&lt;=9000,IF($C$5&gt;=20," ","API&lt;20"),"Depth&gt;9000"),"Visc&gt;35"),"Perm&lt;10"),"Temp&gt;200"),"So&lt;35%"),"Reservoir type not preferred"),"Cl-&gt;20,000 ppm"),"Ca+Mg&gt;500 ppm")</f>
        <v>Reservoir type not preferred</v>
      </c>
      <c r="D7" s="7" t="str">
        <f>IF($C$12&gt;=15,"","Porosity&lt;15%")</f>
        <v>Porosity&lt;15%</v>
      </c>
      <c r="E7" s="4" t="s">
        <v>48</v>
      </c>
    </row>
    <row r="8" spans="1:6" x14ac:dyDescent="0.35">
      <c r="A8" s="2" t="s">
        <v>49</v>
      </c>
      <c r="B8" t="str">
        <f>IF(($C$5&gt;=8)*($C$5&lt;=25)*($C$7&lt;=5000)*($C$6&lt;=100000)*($C$10&gt;=200)*($C$11&gt;=40),"PASS","FAIL")</f>
        <v>FAIL</v>
      </c>
      <c r="C8" s="7" t="str">
        <f>IF($C$11&gt;=40,IF($C$10&gt;=200,IF($C$6&lt;=100000,IF($C$7&lt;=5000,IF($C$5&lt;=25,IF($C$5&gt;=8," ","API&lt;8"),"API&gt;25"),"Depth&gt;5000"),"Visc&gt;100000"),"Perm&lt;200"),"So&lt;40%")</f>
        <v>So&lt;40%</v>
      </c>
      <c r="D8" s="7" t="str">
        <f>IF($C$12&gt;=20,"","Porosity&lt;20%") &amp; IF(AND(IF($C$12&gt;=20,"","Porosity&lt;20%")&lt;&gt;"", IF($C$13&gt;0,"Ensure pressure &amp; frac gradient allow steam injectivity","")&lt;&gt;""),"; ","") &amp; IF($C$13&gt;0,"Ensure pressure &amp; frac gradient allow steam injectivity","")</f>
        <v>Porosity&lt;20%</v>
      </c>
      <c r="E8" s="4" t="s">
        <v>50</v>
      </c>
    </row>
    <row r="9" spans="1:6" x14ac:dyDescent="0.35">
      <c r="A9" s="2" t="s">
        <v>51</v>
      </c>
      <c r="B9" t="str">
        <f>IF(($C$5&gt;=10)*($C$5&lt;=27)*($C$7&lt;=11500)*($C$6&lt;=5000)*($C$10&gt;=50)*($C$8&gt;=100)*($C$11&gt;=50),"PASS","FAIL")</f>
        <v>FAIL</v>
      </c>
      <c r="C9" s="7" t="str">
        <f>IF($C$11&gt;=50,IF($C$8&gt;=100,IF($C$10&gt;=50,IF($C$6&lt;=5000,IF($C$7&lt;=11500,IF($C$5&lt;=27,IF($C$5&gt;=10," ","API&lt;10"),"API&gt;27"),"Depth&gt;11500"),"Visc&gt;5000"),"Perm&lt;50"),"Temp&lt;100"),"So&lt;50%")</f>
        <v>So&lt;50%</v>
      </c>
      <c r="D9" s="7" t="str">
        <f>IF($C$12&gt;=15,"","Porosity&lt;15%")</f>
        <v>Porosity&lt;15%</v>
      </c>
      <c r="E9" s="4" t="s">
        <v>52</v>
      </c>
    </row>
    <row r="10" spans="1:6" x14ac:dyDescent="0.35">
      <c r="A10" s="2" t="s">
        <v>53</v>
      </c>
      <c r="B10" t="str">
        <f>IF(($C$5&gt;=7)*($C$5&lt;=15)*($C$7&lt;=4500)*($C$6&gt;=1000)*($C$6&lt;=200000)*($C$10&gt;=1000)*($C$11&gt;=40),"PASS","FAIL")</f>
        <v>FAIL</v>
      </c>
      <c r="C10" s="7" t="str">
        <f>IF($C$11&gt;=40,IF($C$10&gt;=1000,IF($C$6&lt;=200000,IF($C$6&gt;=1000,IF($C$7&lt;=4500,IF($C$5&lt;=15,IF($C$5&gt;=7," ","API&lt;7"),"API&gt;15"),"Depth&gt;4500"),"Visc&lt;1000"),"Visc&gt;200000"),"Perm&lt;1000"),"So&lt;40%")</f>
        <v>So&lt;40%</v>
      </c>
      <c r="D10" s="7" t="str">
        <f>IF($C$12&gt;=30,"","Porosity&lt;30%") &amp; IF(AND(IF($C$12&gt;=30,"","Porosity&lt;30%")&lt;&gt;"", IF($C$13&gt;0,"Ensure pressure &amp; frac gradient allow steam injectivity","")&lt;&gt;""),"; ","") &amp; IF($C$13&gt;0,"Ensure pressure &amp; frac gradient allow steam injectivity","")</f>
        <v>Porosity&lt;30%</v>
      </c>
      <c r="E10" s="4" t="s">
        <v>54</v>
      </c>
    </row>
    <row r="11" spans="1:6" x14ac:dyDescent="0.35">
      <c r="C11" s="5"/>
      <c r="D11" s="5"/>
    </row>
    <row r="12" spans="1:6" x14ac:dyDescent="0.35">
      <c r="A12" s="12" t="s">
        <v>55</v>
      </c>
      <c r="B12" s="13"/>
      <c r="C12" s="13"/>
      <c r="D12" s="13"/>
      <c r="E12" s="14"/>
    </row>
    <row r="13" spans="1:6" x14ac:dyDescent="0.35">
      <c r="A13" s="15"/>
      <c r="B13" s="16"/>
      <c r="C13" s="16"/>
      <c r="D13" s="16"/>
      <c r="E13" s="17"/>
    </row>
    <row r="14" spans="1:6" x14ac:dyDescent="0.35">
      <c r="A14" s="15"/>
      <c r="B14" s="16"/>
      <c r="C14" s="16"/>
      <c r="D14" s="16"/>
      <c r="E14" s="17"/>
    </row>
    <row r="15" spans="1:6" x14ac:dyDescent="0.35">
      <c r="A15" s="15"/>
      <c r="B15" s="16"/>
      <c r="C15" s="16"/>
      <c r="D15" s="16"/>
      <c r="E15" s="17"/>
    </row>
    <row r="16" spans="1:6" x14ac:dyDescent="0.35">
      <c r="A16" s="18"/>
      <c r="B16" s="19"/>
      <c r="C16" s="19"/>
      <c r="D16" s="19"/>
      <c r="E16" s="20"/>
    </row>
  </sheetData>
  <mergeCells count="1">
    <mergeCell ref="A12:E16"/>
  </mergeCells>
  <conditionalFormatting sqref="B2:B10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pane ySplit="3" topLeftCell="A17" activePane="bottomLeft" state="frozen"/>
      <selection pane="bottomLeft" activeCell="F19" sqref="F19"/>
    </sheetView>
  </sheetViews>
  <sheetFormatPr defaultRowHeight="14.5" x14ac:dyDescent="0.35"/>
  <cols>
    <col min="1" max="1" width="28.6328125" customWidth="1"/>
    <col min="2" max="4" width="18.6328125" customWidth="1"/>
    <col min="5" max="5" width="56.54296875" customWidth="1"/>
    <col min="6" max="12" width="18.6328125" customWidth="1"/>
  </cols>
  <sheetData>
    <row r="1" spans="1:12" ht="18.5" x14ac:dyDescent="0.45">
      <c r="A1" s="21" t="s">
        <v>107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5">
      <c r="C2" s="5"/>
      <c r="D2" s="5"/>
    </row>
    <row r="3" spans="1:12" x14ac:dyDescent="0.35">
      <c r="A3" s="1" t="s">
        <v>0</v>
      </c>
      <c r="B3" s="1" t="s">
        <v>1</v>
      </c>
      <c r="C3" s="1" t="s">
        <v>2</v>
      </c>
      <c r="D3" s="5"/>
      <c r="F3" s="1" t="s">
        <v>3</v>
      </c>
    </row>
    <row r="4" spans="1:12" x14ac:dyDescent="0.35">
      <c r="A4" s="2" t="s">
        <v>4</v>
      </c>
      <c r="B4" s="2" t="s">
        <v>5</v>
      </c>
      <c r="C4" s="6" t="s">
        <v>6</v>
      </c>
      <c r="D4" s="5"/>
      <c r="F4" s="3" t="s">
        <v>7</v>
      </c>
      <c r="G4">
        <f>$C$5</f>
        <v>32</v>
      </c>
    </row>
    <row r="5" spans="1:12" x14ac:dyDescent="0.35">
      <c r="A5" s="2" t="s">
        <v>8</v>
      </c>
      <c r="B5" s="2" t="s">
        <v>9</v>
      </c>
      <c r="C5" s="8">
        <v>32</v>
      </c>
      <c r="D5" s="5"/>
      <c r="F5" s="3" t="s">
        <v>10</v>
      </c>
      <c r="G5">
        <f>$C$6</f>
        <v>5</v>
      </c>
    </row>
    <row r="6" spans="1:12" x14ac:dyDescent="0.35">
      <c r="A6" s="2" t="s">
        <v>11</v>
      </c>
      <c r="B6" s="2" t="s">
        <v>9</v>
      </c>
      <c r="C6" s="8">
        <v>5</v>
      </c>
      <c r="D6" s="5"/>
      <c r="F6" s="3" t="s">
        <v>12</v>
      </c>
      <c r="G6">
        <f>$C$7</f>
        <v>3500</v>
      </c>
    </row>
    <row r="7" spans="1:12" x14ac:dyDescent="0.35">
      <c r="A7" s="2" t="s">
        <v>13</v>
      </c>
      <c r="B7" s="2" t="s">
        <v>9</v>
      </c>
      <c r="C7" s="8">
        <v>3500</v>
      </c>
      <c r="D7" s="5"/>
      <c r="F7" s="3" t="s">
        <v>14</v>
      </c>
      <c r="G7">
        <f>$C$8</f>
        <v>140</v>
      </c>
    </row>
    <row r="8" spans="1:12" x14ac:dyDescent="0.35">
      <c r="A8" s="2" t="s">
        <v>15</v>
      </c>
      <c r="B8" s="2" t="s">
        <v>9</v>
      </c>
      <c r="C8" s="8">
        <v>140</v>
      </c>
      <c r="D8" s="5"/>
      <c r="F8" s="3" t="s">
        <v>16</v>
      </c>
      <c r="G8">
        <f>$C$9</f>
        <v>50</v>
      </c>
    </row>
    <row r="9" spans="1:12" x14ac:dyDescent="0.35">
      <c r="A9" s="2" t="s">
        <v>17</v>
      </c>
      <c r="B9" s="2" t="s">
        <v>9</v>
      </c>
      <c r="C9" s="8">
        <v>50</v>
      </c>
      <c r="D9" s="5"/>
      <c r="F9" s="3" t="s">
        <v>18</v>
      </c>
      <c r="G9">
        <f>$C$10</f>
        <v>500</v>
      </c>
    </row>
    <row r="10" spans="1:12" x14ac:dyDescent="0.35">
      <c r="A10" s="2" t="s">
        <v>19</v>
      </c>
      <c r="B10" s="2" t="s">
        <v>9</v>
      </c>
      <c r="C10" s="8">
        <v>500</v>
      </c>
      <c r="D10" s="5"/>
      <c r="F10" s="3" t="s">
        <v>20</v>
      </c>
      <c r="G10">
        <f>$C$11</f>
        <v>60</v>
      </c>
    </row>
    <row r="11" spans="1:12" x14ac:dyDescent="0.35">
      <c r="A11" s="2" t="s">
        <v>21</v>
      </c>
      <c r="B11" s="2" t="s">
        <v>9</v>
      </c>
      <c r="C11" s="8">
        <v>60</v>
      </c>
      <c r="D11" s="5"/>
      <c r="F11" s="3" t="s">
        <v>22</v>
      </c>
      <c r="G11">
        <f>$C$12</f>
        <v>25</v>
      </c>
    </row>
    <row r="12" spans="1:12" x14ac:dyDescent="0.35">
      <c r="A12" s="2" t="s">
        <v>23</v>
      </c>
      <c r="B12" s="2" t="s">
        <v>9</v>
      </c>
      <c r="C12" s="8">
        <v>25</v>
      </c>
      <c r="D12" s="5"/>
      <c r="F12" s="3" t="s">
        <v>24</v>
      </c>
      <c r="G12">
        <f>$C$13</f>
        <v>3000</v>
      </c>
    </row>
    <row r="13" spans="1:12" x14ac:dyDescent="0.35">
      <c r="A13" s="2" t="s">
        <v>25</v>
      </c>
      <c r="B13" s="2" t="s">
        <v>9</v>
      </c>
      <c r="C13" s="8">
        <v>3000</v>
      </c>
      <c r="D13" s="5"/>
      <c r="F13" s="3" t="s">
        <v>26</v>
      </c>
      <c r="G13">
        <f>$C$14</f>
        <v>1</v>
      </c>
    </row>
    <row r="14" spans="1:12" x14ac:dyDescent="0.35">
      <c r="A14" s="2" t="s">
        <v>27</v>
      </c>
      <c r="B14" s="2" t="s">
        <v>28</v>
      </c>
      <c r="C14" s="8">
        <v>1</v>
      </c>
      <c r="D14" s="5"/>
      <c r="F14" s="3" t="s">
        <v>29</v>
      </c>
      <c r="G14">
        <f>$C$15</f>
        <v>15000</v>
      </c>
    </row>
    <row r="15" spans="1:12" x14ac:dyDescent="0.35">
      <c r="A15" s="2" t="s">
        <v>30</v>
      </c>
      <c r="B15" s="2" t="s">
        <v>9</v>
      </c>
      <c r="C15" s="8">
        <v>15000</v>
      </c>
      <c r="D15" s="5"/>
      <c r="F15" s="3" t="s">
        <v>31</v>
      </c>
      <c r="G15">
        <f>$C$16</f>
        <v>300</v>
      </c>
    </row>
    <row r="16" spans="1:12" x14ac:dyDescent="0.35">
      <c r="A16" s="2" t="s">
        <v>32</v>
      </c>
      <c r="B16" s="2" t="s">
        <v>9</v>
      </c>
      <c r="C16" s="8">
        <v>300</v>
      </c>
      <c r="D16" s="5"/>
      <c r="F16" s="3" t="s">
        <v>33</v>
      </c>
      <c r="G16" s="9" t="str">
        <f>$C$4</f>
        <v>Sandstone</v>
      </c>
    </row>
    <row r="17" spans="1:5" x14ac:dyDescent="0.35">
      <c r="C17" s="5"/>
      <c r="D17" s="5"/>
    </row>
    <row r="18" spans="1:5" x14ac:dyDescent="0.35">
      <c r="C18" s="5"/>
      <c r="D18" s="5"/>
    </row>
    <row r="19" spans="1:5" x14ac:dyDescent="0.35">
      <c r="A19" s="1" t="s">
        <v>34</v>
      </c>
      <c r="B19" s="1" t="s">
        <v>35</v>
      </c>
      <c r="C19" s="1" t="s">
        <v>105</v>
      </c>
      <c r="D19" s="1" t="s">
        <v>106</v>
      </c>
      <c r="E19" s="1" t="s">
        <v>36</v>
      </c>
    </row>
    <row r="20" spans="1:5" ht="29" x14ac:dyDescent="0.35">
      <c r="A20" s="2" t="s">
        <v>37</v>
      </c>
      <c r="B20" t="str">
        <f>IF(($C$5&gt;=22)*(IF($C$5&gt;40,IF($C$7&gt;=2500,1,0),IF(AND($C$5&gt;=32,$C$5&lt;40),IF($C$7&gt;=2800,1,0),IF(AND($C$5&gt;=28,$C$5&lt;32),IF($C$7&gt;=3300,1,0),IF(AND($C$5&gt;=22,$C$5&lt;28),IF($C$7&gt;=4000,1,0),0))))=1)*($C$6&lt;=10)*($C$11&gt;=20),"PASS","FAIL")</f>
        <v>PASS</v>
      </c>
      <c r="C20" s="7" t="str">
        <f>IF($C$11&gt;=20,IF($C$6&lt;=10,IF(IF($C$5&gt;40,IF($C$7&gt;=2500,1,0),IF(AND($C$5&gt;=32,$C$5&lt;40),IF($C$7&gt;=2800,1,0),IF(AND($C$5&gt;=28,$C$5&lt;32),IF($C$7&gt;=3300,1,0),IF(AND($C$5&gt;=22,$C$5&lt;28),IF($C$7&gt;=4000,1,0),0))))=1,IF($C$5&gt;=22," ","API&lt;22"),"Depth below MMP threshold"),"Visc&gt;10"),"So&lt;20%")</f>
        <v xml:space="preserve"> </v>
      </c>
      <c r="D20" s="7" t="str">
        <f>IF($C$13&gt;0,"Check MMP vs P_res","")</f>
        <v>Check MMP vs P_res</v>
      </c>
      <c r="E20" s="4" t="s">
        <v>38</v>
      </c>
    </row>
    <row r="21" spans="1:5" x14ac:dyDescent="0.35">
      <c r="A21" s="2" t="s">
        <v>39</v>
      </c>
      <c r="B21" t="str">
        <f>IF(($C$5&gt;=13)*($C$7&gt;=1800)*($C$6&lt;=600)*($C$11&gt;=35),"PASS","FAIL")</f>
        <v>PASS</v>
      </c>
      <c r="C21" s="7" t="str">
        <f>IF($C$11&gt;=35,IF($C$6&lt;=600,IF($C$7&gt;=1800,IF($C$5&gt;=13," ","API&lt;13"),"Depth&lt;1800"),"Visc&gt;600"),"So&lt;35%")</f>
        <v xml:space="preserve"> </v>
      </c>
      <c r="D21" s="7" t="str">
        <f>IF($C$13&gt;0,"Check MMP vs P_res","")</f>
        <v>Check MMP vs P_res</v>
      </c>
      <c r="E21" s="4" t="s">
        <v>40</v>
      </c>
    </row>
    <row r="22" spans="1:5" x14ac:dyDescent="0.35">
      <c r="A22" s="2" t="s">
        <v>41</v>
      </c>
      <c r="B22" t="str">
        <f>IF(($C$5&gt;=23)*($C$7&gt;=4000)*($C$6&lt;=3)*($C$11&gt;=30),"PASS","FAIL")</f>
        <v>FAIL</v>
      </c>
      <c r="C22" s="7" t="str">
        <f>IF($C$11&gt;=30,IF($C$6&lt;=3,IF($C$7&gt;=4000,IF($C$5&gt;=23," ","API&lt;23"),"Depth&lt;4000"),"Visc&gt;3"),"So&lt;30%")</f>
        <v>Visc&gt;3</v>
      </c>
      <c r="D22" s="7" t="str">
        <f>IF($C$13&gt;0,"Check MMP vs P_res","")</f>
        <v>Check MMP vs P_res</v>
      </c>
      <c r="E22" s="4" t="s">
        <v>42</v>
      </c>
    </row>
    <row r="23" spans="1:5" x14ac:dyDescent="0.35">
      <c r="A23" s="2" t="s">
        <v>43</v>
      </c>
      <c r="B23" t="str">
        <f>IF(($C$5&gt;=35)*($C$7&gt;=6000)*($C$6&lt;=0.4)*($C$11&gt;=40),"PASS","FAIL")</f>
        <v>FAIL</v>
      </c>
      <c r="C23" s="7" t="str">
        <f>IF($C$11&gt;=40,IF($C$6&lt;=0.4,IF($C$7&gt;=6000,IF($C$5&gt;=35," ","API&lt;35"),"Depth&lt;6000"),"Visc&gt;0.4"),"So&lt;40%")</f>
        <v>Visc&gt;0.4</v>
      </c>
      <c r="D23" s="7" t="str">
        <f>IF($C$13&gt;0,"Check MMP vs P_res","")</f>
        <v>Check MMP vs P_res</v>
      </c>
      <c r="E23" s="4" t="s">
        <v>44</v>
      </c>
    </row>
    <row r="24" spans="1:5" ht="29" x14ac:dyDescent="0.35">
      <c r="A24" s="2" t="s">
        <v>45</v>
      </c>
      <c r="B24" t="str">
        <f>IF(($C$5&gt;=15)*($C$7&lt;=9000)*($C$6&gt;=10)*($C$6&lt;=150)*($C$10&gt;=10)*($C$8&lt;=200)*($C$11&gt;=50),"PASS","FAIL")</f>
        <v>FAIL</v>
      </c>
      <c r="C24" s="7" t="str">
        <f>IF($C$11&gt;=50,IF($C$8&lt;=200,IF($C$10&gt;=10,IF($C$6&lt;=150,IF($C$6&gt;=10,IF($C$7&lt;=9000,IF($C$5&gt;=15," ","API&lt;15"),"Depth&gt;9000"),"Visc&lt;10"),"Visc&gt;150"),"Perm&lt;10"),"Temp&gt;200"),"So&lt;50%")</f>
        <v>Visc&lt;10</v>
      </c>
      <c r="D24" s="7" t="str">
        <f>IF($C$12&gt;=15,"","Porosity&lt;15%")</f>
        <v/>
      </c>
      <c r="E24" s="4" t="s">
        <v>46</v>
      </c>
    </row>
    <row r="25" spans="1:5" ht="29" x14ac:dyDescent="0.35">
      <c r="A25" s="2" t="s">
        <v>47</v>
      </c>
      <c r="B25" t="str">
        <f>IF(($C$5&gt;=20)*($C$7&lt;=9000)*($C$6&lt;=35)*($C$10&gt;=10)*($C$8&lt;=200)*($C$11&gt;=35)*($C$15&lt;=20000)*($C$16&lt;=500),"PASS","FAIL")</f>
        <v>PASS</v>
      </c>
      <c r="C25" s="7" t="str">
        <f>IF($C$16&lt;=500,IF($C$15&lt;=20000,IF(OR($C$4="Sandstone",$C$4="Other"),IF($C$11&gt;=35,IF($C$8&lt;=200,IF($C$10&gt;=10,IF($C$6&lt;=35,IF($C$7&lt;=9000,IF($C$5&gt;=20," ","API&lt;20"),"Depth&gt;9000"),"Visc&gt;35"),"Perm&lt;10"),"Temp&gt;200"),"So&lt;35%"),"Reservoir type not preferred"),"Cl-&gt;20,000 ppm"),"Ca+Mg&gt;500 ppm")</f>
        <v xml:space="preserve"> </v>
      </c>
      <c r="D25" s="7" t="str">
        <f>IF($C$12&gt;=15,"","Porosity&lt;15%")</f>
        <v/>
      </c>
      <c r="E25" s="4" t="s">
        <v>48</v>
      </c>
    </row>
    <row r="26" spans="1:5" ht="43.5" x14ac:dyDescent="0.35">
      <c r="A26" s="2" t="s">
        <v>49</v>
      </c>
      <c r="B26" t="str">
        <f>IF(($C$5&gt;=8)*($C$5&lt;=25)*($C$7&lt;=5000)*($C$6&lt;=100000)*($C$10&gt;=200)*($C$11&gt;=40),"PASS","FAIL")</f>
        <v>FAIL</v>
      </c>
      <c r="C26" s="7" t="str">
        <f>IF($C$11&gt;=40,IF($C$10&gt;=200,IF($C$6&lt;=100000,IF($C$7&lt;=5000,IF($C$5&lt;=25,IF($C$5&gt;=8," ","API&lt;8"),"API&gt;25"),"Depth&gt;5000"),"Visc&gt;100000"),"Perm&lt;200"),"So&lt;40%")</f>
        <v>API&gt;25</v>
      </c>
      <c r="D26" s="7" t="str">
        <f>IF($C$12&gt;=20,"","Porosity&lt;20%") &amp; IF(AND(IF($C$12&gt;=20,"","Porosity&lt;20%")&lt;&gt;"", IF($C$13&gt;0,"Ensure pressure &amp; frac gradient allow steam injectivity","")&lt;&gt;""),"; ","") &amp; IF($C$13&gt;0,"Ensure pressure &amp; frac gradient allow steam injectivity","")</f>
        <v>Ensure pressure &amp; frac gradient allow steam injectivity</v>
      </c>
      <c r="E26" s="4" t="s">
        <v>50</v>
      </c>
    </row>
    <row r="27" spans="1:5" x14ac:dyDescent="0.35">
      <c r="A27" s="2" t="s">
        <v>51</v>
      </c>
      <c r="B27" t="str">
        <f>IF(($C$5&gt;=10)*($C$5&lt;=27)*($C$7&lt;=11500)*($C$6&lt;=5000)*($C$10&gt;=50)*($C$8&gt;=100)*($C$11&gt;=50),"PASS","FAIL")</f>
        <v>FAIL</v>
      </c>
      <c r="C27" s="7" t="str">
        <f>IF($C$11&gt;=50,IF($C$8&gt;=100,IF($C$10&gt;=50,IF($C$6&lt;=5000,IF($C$7&lt;=11500,IF($C$5&lt;=27,IF($C$5&gt;=10," ","API&lt;10"),"API&gt;27"),"Depth&gt;11500"),"Visc&gt;5000"),"Perm&lt;50"),"Temp&lt;100"),"So&lt;50%")</f>
        <v>API&gt;27</v>
      </c>
      <c r="D27" s="7" t="str">
        <f>IF($C$12&gt;=15,"","Porosity&lt;15%")</f>
        <v/>
      </c>
      <c r="E27" s="4" t="s">
        <v>52</v>
      </c>
    </row>
    <row r="28" spans="1:5" ht="58" x14ac:dyDescent="0.35">
      <c r="A28" s="2" t="s">
        <v>53</v>
      </c>
      <c r="B28" t="str">
        <f>IF(($C$5&gt;=7)*($C$5&lt;=15)*($C$7&lt;=4500)*($C$6&gt;=1000)*($C$6&lt;=200000)*($C$10&gt;=1000)*($C$11&gt;=40),"PASS","FAIL")</f>
        <v>FAIL</v>
      </c>
      <c r="C28" s="7" t="str">
        <f>IF($C$11&gt;=40,IF($C$10&gt;=1000,IF($C$6&lt;=200000,IF($C$6&gt;=1000,IF($C$7&lt;=4500,IF($C$5&lt;=15,IF($C$5&gt;=7," ","API&lt;7"),"API&gt;15"),"Depth&gt;4500"),"Visc&lt;1000"),"Visc&gt;200000"),"Perm&lt;1000"),"So&lt;40%")</f>
        <v>Perm&lt;1000</v>
      </c>
      <c r="D28" s="7" t="str">
        <f>IF($C$12&gt;=30,"","Porosity&lt;30%") &amp; IF(AND(IF($C$12&gt;=30,"","Porosity&lt;30%")&lt;&gt;"", IF($C$13&gt;0,"Ensure pressure &amp; frac gradient allow steam injectivity","")&lt;&gt;""),"; ","") &amp; IF($C$13&gt;0,"Ensure pressure &amp; frac gradient allow steam injectivity","")</f>
        <v>Porosity&lt;30%; Ensure pressure &amp; frac gradient allow steam injectivity</v>
      </c>
      <c r="E28" s="4" t="s">
        <v>54</v>
      </c>
    </row>
    <row r="29" spans="1:5" x14ac:dyDescent="0.35">
      <c r="C29" s="5"/>
      <c r="D29" s="5"/>
    </row>
    <row r="30" spans="1:5" x14ac:dyDescent="0.35">
      <c r="A30" s="12" t="s">
        <v>55</v>
      </c>
      <c r="B30" s="13"/>
      <c r="C30" s="13"/>
      <c r="D30" s="13"/>
      <c r="E30" s="14"/>
    </row>
    <row r="31" spans="1:5" x14ac:dyDescent="0.35">
      <c r="A31" s="15"/>
      <c r="B31" s="16"/>
      <c r="C31" s="16"/>
      <c r="D31" s="16"/>
      <c r="E31" s="17"/>
    </row>
    <row r="32" spans="1:5" x14ac:dyDescent="0.35">
      <c r="A32" s="15"/>
      <c r="B32" s="16"/>
      <c r="C32" s="16"/>
      <c r="D32" s="16"/>
      <c r="E32" s="17"/>
    </row>
    <row r="33" spans="1:5" x14ac:dyDescent="0.35">
      <c r="A33" s="15"/>
      <c r="B33" s="16"/>
      <c r="C33" s="16"/>
      <c r="D33" s="16"/>
      <c r="E33" s="17"/>
    </row>
    <row r="34" spans="1:5" x14ac:dyDescent="0.35">
      <c r="A34" s="18"/>
      <c r="B34" s="19"/>
      <c r="C34" s="19"/>
      <c r="D34" s="19"/>
      <c r="E34" s="20"/>
    </row>
  </sheetData>
  <mergeCells count="2">
    <mergeCell ref="A1:L1"/>
    <mergeCell ref="A30:E34"/>
  </mergeCells>
  <conditionalFormatting sqref="B20:B28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2">
    <dataValidation type="list" allowBlank="1" showInputMessage="1" showErrorMessage="1" sqref="C4" xr:uid="{00000000-0002-0000-0000-000000000000}">
      <formula1>"Sandstone,Carbonate,Other"</formula1>
    </dataValidation>
    <dataValidation type="decimal" allowBlank="1" showInputMessage="1" showErrorMessage="1" sqref="C5:C15" xr:uid="{00000000-0002-0000-0000-000001000000}">
      <formula1>-1000000000</formula1>
      <formula2>1000000000</formula2>
    </dataValidation>
  </dataValidations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A8" sqref="A8"/>
    </sheetView>
  </sheetViews>
  <sheetFormatPr defaultRowHeight="14.5" x14ac:dyDescent="0.35"/>
  <cols>
    <col min="1" max="1" width="32.6328125" customWidth="1"/>
    <col min="2" max="9" width="18.6328125" customWidth="1"/>
  </cols>
  <sheetData>
    <row r="1" spans="1:10" x14ac:dyDescent="0.35">
      <c r="A1" s="1" t="s">
        <v>34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5">
      <c r="A2" s="2" t="s">
        <v>37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68</v>
      </c>
      <c r="G2" s="2" t="s">
        <v>69</v>
      </c>
      <c r="H2" s="2" t="s">
        <v>68</v>
      </c>
      <c r="I2" s="2" t="s">
        <v>70</v>
      </c>
      <c r="J2" s="2" t="s">
        <v>38</v>
      </c>
    </row>
    <row r="3" spans="1:10" x14ac:dyDescent="0.35">
      <c r="A3" s="2" t="s">
        <v>39</v>
      </c>
      <c r="B3" s="2" t="s">
        <v>71</v>
      </c>
      <c r="C3" s="2" t="s">
        <v>72</v>
      </c>
      <c r="D3" s="2" t="s">
        <v>73</v>
      </c>
      <c r="E3" s="2" t="s">
        <v>68</v>
      </c>
      <c r="F3" s="2" t="s">
        <v>68</v>
      </c>
      <c r="G3" s="2" t="s">
        <v>74</v>
      </c>
      <c r="H3" s="2" t="s">
        <v>68</v>
      </c>
      <c r="I3" s="2" t="s">
        <v>70</v>
      </c>
      <c r="J3" s="2" t="s">
        <v>40</v>
      </c>
    </row>
    <row r="4" spans="1:10" x14ac:dyDescent="0.35">
      <c r="A4" s="2" t="s">
        <v>41</v>
      </c>
      <c r="B4" s="2" t="s">
        <v>75</v>
      </c>
      <c r="C4" s="2" t="s">
        <v>76</v>
      </c>
      <c r="D4" s="2" t="s">
        <v>77</v>
      </c>
      <c r="E4" s="2" t="s">
        <v>68</v>
      </c>
      <c r="F4" s="2" t="s">
        <v>68</v>
      </c>
      <c r="G4" s="2" t="s">
        <v>78</v>
      </c>
      <c r="H4" s="2" t="s">
        <v>68</v>
      </c>
      <c r="I4" s="2" t="s">
        <v>70</v>
      </c>
      <c r="J4" s="2" t="s">
        <v>42</v>
      </c>
    </row>
    <row r="5" spans="1:10" x14ac:dyDescent="0.35">
      <c r="A5" s="2" t="s">
        <v>43</v>
      </c>
      <c r="B5" s="2" t="s">
        <v>74</v>
      </c>
      <c r="C5" s="2" t="s">
        <v>79</v>
      </c>
      <c r="D5" s="2" t="s">
        <v>80</v>
      </c>
      <c r="E5" s="2" t="s">
        <v>68</v>
      </c>
      <c r="F5" s="2" t="s">
        <v>68</v>
      </c>
      <c r="G5" s="2" t="s">
        <v>81</v>
      </c>
      <c r="H5" s="2" t="s">
        <v>68</v>
      </c>
      <c r="I5" s="2" t="s">
        <v>70</v>
      </c>
      <c r="J5" s="2" t="s">
        <v>44</v>
      </c>
    </row>
    <row r="6" spans="1:10" x14ac:dyDescent="0.35">
      <c r="A6" s="2" t="s">
        <v>45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68</v>
      </c>
      <c r="J6" s="2" t="s">
        <v>46</v>
      </c>
    </row>
    <row r="7" spans="1:10" x14ac:dyDescent="0.35">
      <c r="A7" s="2" t="s">
        <v>47</v>
      </c>
      <c r="B7" s="2" t="s">
        <v>69</v>
      </c>
      <c r="C7" s="2" t="s">
        <v>89</v>
      </c>
      <c r="D7" s="2" t="s">
        <v>84</v>
      </c>
      <c r="E7" s="2" t="s">
        <v>85</v>
      </c>
      <c r="F7" s="2" t="s">
        <v>86</v>
      </c>
      <c r="G7" s="2" t="s">
        <v>74</v>
      </c>
      <c r="H7" s="2" t="s">
        <v>88</v>
      </c>
      <c r="I7" s="2" t="s">
        <v>68</v>
      </c>
      <c r="J7" s="2" t="s">
        <v>48</v>
      </c>
    </row>
    <row r="8" spans="1:10" x14ac:dyDescent="0.35">
      <c r="A8" s="2" t="s">
        <v>49</v>
      </c>
      <c r="B8" s="2" t="s">
        <v>90</v>
      </c>
      <c r="C8" s="2" t="s">
        <v>91</v>
      </c>
      <c r="D8" s="2" t="s">
        <v>92</v>
      </c>
      <c r="E8" s="2" t="s">
        <v>68</v>
      </c>
      <c r="F8" s="2" t="s">
        <v>93</v>
      </c>
      <c r="G8" s="2" t="s">
        <v>81</v>
      </c>
      <c r="H8" s="2" t="s">
        <v>94</v>
      </c>
      <c r="I8" s="2" t="s">
        <v>95</v>
      </c>
      <c r="J8" s="2" t="s">
        <v>50</v>
      </c>
    </row>
    <row r="9" spans="1:10" x14ac:dyDescent="0.35">
      <c r="A9" s="2" t="s">
        <v>51</v>
      </c>
      <c r="B9" s="2" t="s">
        <v>96</v>
      </c>
      <c r="C9" s="2" t="s">
        <v>92</v>
      </c>
      <c r="D9" s="2" t="s">
        <v>97</v>
      </c>
      <c r="E9" s="2" t="s">
        <v>98</v>
      </c>
      <c r="F9" s="2" t="s">
        <v>87</v>
      </c>
      <c r="G9" s="2" t="s">
        <v>87</v>
      </c>
      <c r="H9" s="2" t="s">
        <v>88</v>
      </c>
      <c r="I9" s="2" t="s">
        <v>68</v>
      </c>
      <c r="J9" s="2" t="s">
        <v>52</v>
      </c>
    </row>
    <row r="10" spans="1:10" x14ac:dyDescent="0.35">
      <c r="A10" s="2" t="s">
        <v>53</v>
      </c>
      <c r="B10" s="2" t="s">
        <v>99</v>
      </c>
      <c r="C10" s="2" t="s">
        <v>100</v>
      </c>
      <c r="D10" s="2" t="s">
        <v>101</v>
      </c>
      <c r="E10" s="2" t="s">
        <v>68</v>
      </c>
      <c r="F10" s="2" t="s">
        <v>102</v>
      </c>
      <c r="G10" s="2" t="s">
        <v>81</v>
      </c>
      <c r="H10" s="2" t="s">
        <v>103</v>
      </c>
      <c r="I10" s="2" t="s">
        <v>95</v>
      </c>
      <c r="J10" s="2" t="s">
        <v>54</v>
      </c>
    </row>
    <row r="12" spans="1:10" x14ac:dyDescent="0.35">
      <c r="A12" s="3" t="s">
        <v>104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EOR Screening Input</vt:lpstr>
      <vt:lpstr>Criteria for PBI</vt:lpstr>
      <vt:lpstr>EOR Screening Result</vt:lpstr>
      <vt:lpstr>EOR Screening</vt:lpstr>
      <vt:lpstr>Criteria (Ref)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Nabiel Izzuddin Radzuan (Dev/Upstream)</cp:lastModifiedBy>
  <dcterms:created xsi:type="dcterms:W3CDTF">2025-10-09T06:56:54Z</dcterms:created>
  <dcterms:modified xsi:type="dcterms:W3CDTF">2026-02-04T03:40:15Z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2025-10-09T07:09:05Z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afd1fef2-aae5-4e10-99da-4c132941312e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