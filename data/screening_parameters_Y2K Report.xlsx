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EOR ATLAS/"/>
    </mc:Choice>
  </mc:AlternateContent>
  <xr:revisionPtr revIDLastSave="265" documentId="8_{B57AB13F-B7C0-43A7-8907-D5FE4DF90813}" xr6:coauthVersionLast="47" xr6:coauthVersionMax="47" xr10:uidLastSave="{9DFBE956-2F02-4833-91FA-B7387FAC4010}"/>
  <bookViews>
    <workbookView xWindow="-23148" yWindow="-48" windowWidth="23256" windowHeight="12456" activeTab="1" xr2:uid="{00000000-000D-0000-FFFF-FFFF00000000}"/>
  </bookViews>
  <sheets>
    <sheet name="Screening_Parameters" sheetId="1" r:id="rId1"/>
    <sheet name="Table_3_2_Peninsular_Msia" sheetId="3" r:id="rId2"/>
  </sheets>
  <externalReferences>
    <externalReference r:id="rId3"/>
  </externalReferences>
  <definedNames>
    <definedName name="YES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6" i="1"/>
</calcChain>
</file>

<file path=xl/sharedStrings.xml><?xml version="1.0" encoding="utf-8"?>
<sst xmlns="http://schemas.openxmlformats.org/spreadsheetml/2006/main" count="230" uniqueCount="122">
  <si>
    <t>Reservoir</t>
  </si>
  <si>
    <t>Recovery_Factor_pct</t>
  </si>
  <si>
    <t>Present_EUR_MMSTB</t>
  </si>
  <si>
    <t>Avg_Porosity_pct</t>
  </si>
  <si>
    <t>Initial_Oil_Sat_pct</t>
  </si>
  <si>
    <t>Current_Oil_Sat_pct</t>
  </si>
  <si>
    <t>Initial_Reservoir_Pressure_kPa</t>
  </si>
  <si>
    <t>Current_Reservoir_Pressure_kPa</t>
  </si>
  <si>
    <t>Fracture_Pressure_kPa</t>
  </si>
  <si>
    <t>Reservoir_Temperature_C</t>
  </si>
  <si>
    <t>Field</t>
  </si>
  <si>
    <t>STOIIP_MMSTB</t>
  </si>
  <si>
    <t>Most_Suitable_Process</t>
  </si>
  <si>
    <t>Incremental_EUR_pct_OOIP</t>
  </si>
  <si>
    <t>Incremental_EUR_MMSTB</t>
  </si>
  <si>
    <t>Dulang</t>
  </si>
  <si>
    <t>East Bunga Kekwa</t>
  </si>
  <si>
    <t>East Bunga Orkid</t>
  </si>
  <si>
    <t>East Bunga Raya</t>
  </si>
  <si>
    <t>Guntong</t>
  </si>
  <si>
    <t>Kepong</t>
  </si>
  <si>
    <t>Seligi</t>
  </si>
  <si>
    <t>Semangkok</t>
  </si>
  <si>
    <t>Tabu</t>
  </si>
  <si>
    <t>Tapis</t>
  </si>
  <si>
    <t>Tiong</t>
  </si>
  <si>
    <t>Tinggi</t>
  </si>
  <si>
    <t>West Bunga Kekwa</t>
  </si>
  <si>
    <t>E 12/13</t>
  </si>
  <si>
    <t>E 14</t>
  </si>
  <si>
    <t>E 7</t>
  </si>
  <si>
    <t>E 10/11</t>
  </si>
  <si>
    <t>LD1</t>
  </si>
  <si>
    <t>I-115</t>
  </si>
  <si>
    <t>J-70</t>
  </si>
  <si>
    <t>K-21A</t>
  </si>
  <si>
    <t>Lower I</t>
  </si>
  <si>
    <t>Upper I</t>
  </si>
  <si>
    <t>J-18/20</t>
  </si>
  <si>
    <t>K-10</t>
  </si>
  <si>
    <t>E-6/16</t>
  </si>
  <si>
    <t>Upper J</t>
  </si>
  <si>
    <t>Lower J</t>
  </si>
  <si>
    <t>J20/21</t>
  </si>
  <si>
    <t>I-90</t>
  </si>
  <si>
    <t>J-60</t>
  </si>
  <si>
    <t>HCMF WAG</t>
  </si>
  <si>
    <t>WFLD</t>
  </si>
  <si>
    <t>CO2M WAG</t>
  </si>
  <si>
    <t>HORZ -PR</t>
  </si>
  <si>
    <t>HORZ-PR</t>
  </si>
  <si>
    <t>HORZ -BW</t>
  </si>
  <si>
    <t xml:space="preserve">Dulang </t>
  </si>
  <si>
    <t>E10/11</t>
  </si>
  <si>
    <t>E12/13</t>
  </si>
  <si>
    <t>E14</t>
  </si>
  <si>
    <t>E7</t>
  </si>
  <si>
    <t>RV2</t>
  </si>
  <si>
    <t>L7</t>
  </si>
  <si>
    <t xml:space="preserve">East Bunga Kekwa </t>
  </si>
  <si>
    <t xml:space="preserve"> J18/20</t>
  </si>
  <si>
    <t xml:space="preserve">Tukau </t>
  </si>
  <si>
    <t>1-I1/6</t>
  </si>
  <si>
    <t xml:space="preserve">Tembungo West </t>
  </si>
  <si>
    <t>L-1</t>
  </si>
  <si>
    <t xml:space="preserve">St Joseph </t>
  </si>
  <si>
    <t>B/G</t>
  </si>
  <si>
    <t xml:space="preserve">South Furious East </t>
  </si>
  <si>
    <t>Zone2-SR0026</t>
  </si>
  <si>
    <t xml:space="preserve">South Furious Cen. </t>
  </si>
  <si>
    <t>Slice2 PT05</t>
  </si>
  <si>
    <t>Slice3 PT05</t>
  </si>
  <si>
    <t xml:space="preserve">Samarang </t>
  </si>
  <si>
    <t>1/2A-J1/4</t>
  </si>
  <si>
    <t xml:space="preserve">D18 </t>
  </si>
  <si>
    <t>Area 1 &amp; 2</t>
  </si>
  <si>
    <t xml:space="preserve">Betty </t>
  </si>
  <si>
    <t xml:space="preserve">Bayan </t>
  </si>
  <si>
    <t>S4.5</t>
  </si>
  <si>
    <t xml:space="preserve">Barton </t>
  </si>
  <si>
    <t>G/H</t>
  </si>
  <si>
    <t xml:space="preserve">Baronia </t>
  </si>
  <si>
    <t xml:space="preserve">Tiong </t>
  </si>
  <si>
    <t>J-20/21</t>
  </si>
  <si>
    <t xml:space="preserve">Semangkok </t>
  </si>
  <si>
    <t>E6/16</t>
  </si>
  <si>
    <t xml:space="preserve">Tabu </t>
  </si>
  <si>
    <t xml:space="preserve">Guntong </t>
  </si>
  <si>
    <t xml:space="preserve">Tapis </t>
  </si>
  <si>
    <t>MOST SUITABLE PROCESS</t>
  </si>
  <si>
    <t>ALSP</t>
  </si>
  <si>
    <t>SRFP</t>
  </si>
  <si>
    <t>D35</t>
  </si>
  <si>
    <t>C2B1</t>
  </si>
  <si>
    <t>C2B2</t>
  </si>
  <si>
    <t>STOIIP (MMSTB)</t>
  </si>
  <si>
    <t>SIWA</t>
  </si>
  <si>
    <t>INCREMENTAL EUR (%OOIP)</t>
  </si>
  <si>
    <t>INCREMENTAL EUR (MMSTB)</t>
  </si>
  <si>
    <t>LDI</t>
  </si>
  <si>
    <t>East Bunga Orchid</t>
  </si>
  <si>
    <t>CO2 WAG</t>
  </si>
  <si>
    <t>J-5/9</t>
  </si>
  <si>
    <t>None</t>
  </si>
  <si>
    <t>CO2M Non-WAG</t>
  </si>
  <si>
    <t>HCMF NON-WAG</t>
  </si>
  <si>
    <t>HCMF WAG, HCMF NON-WAG, IGAS-CO2, IGAS-N2</t>
  </si>
  <si>
    <t>IGAS-WAG, SRFP, ALSP</t>
  </si>
  <si>
    <t>-</t>
  </si>
  <si>
    <t>IGAS CO2 WAG, IGAS-N2 WAG, WFLD, HORZ WFLD</t>
  </si>
  <si>
    <t>HORZ WFLD, IGAS-CO2 WAG, IGAS-N2 WAG</t>
  </si>
  <si>
    <t>IGAS-CO2 WAG, IGAS-N2 WAG</t>
  </si>
  <si>
    <t>IGAS-CO2 NON WAG</t>
  </si>
  <si>
    <t>HCMF NON-WAG, IGAS-N2 NON-WAG</t>
  </si>
  <si>
    <t xml:space="preserve">HORZ </t>
  </si>
  <si>
    <t>CO2M WAG, IGAS-CO2 WAG, HORZ, IGAS-N2 WAG</t>
  </si>
  <si>
    <t>HCMF WAG, CO2M NON WAG, HCMF NON WAG</t>
  </si>
  <si>
    <t>CO2M WAG/HCMF WAG</t>
  </si>
  <si>
    <t>CO2M NON WAG</t>
  </si>
  <si>
    <t>HCMF NON WAG</t>
  </si>
  <si>
    <t>HCMF WAG, HORZ WF</t>
  </si>
  <si>
    <t>OTHERS PASS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</si>
</sst>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2" fontId="0" fillId="0" borderId="0" xfId="0" applyNumberFormat="1"/>
    <xf numFmtId="0" fontId="1" fillId="0" borderId="2" xfId="1" applyFont="1" applyBorder="1" applyAlignment="1">
      <alignment horizontal="center" vertical="top"/>
    </xf>
    <xf numFmtId="0" fontId="2" fillId="0" borderId="0" xfId="1"/>
  </cellXfs>
  <cellStyles count="2">
    <cellStyle name="Normal" xfId="0" builtinId="0"/>
    <cellStyle name="Normal 2" xfId="1" xr:uid="{2E975717-255E-4B29-8D2C-1A8282E9D66F}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BCE3BC66-5368-4A8E-AEF2-F67F6DCBE1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1318260</xdr:colOff>
      <xdr:row>40</xdr:row>
      <xdr:rowOff>121920</xdr:rowOff>
    </xdr:from>
    <xdr:to>
      <xdr:col>14</xdr:col>
      <xdr:colOff>796960</xdr:colOff>
      <xdr:row>61</xdr:row>
      <xdr:rowOff>175597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61D94-69C4-7A0B-14F5-E11C66AD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9280" y="7627620"/>
          <a:ext cx="6614733" cy="3894157"/>
        </a:xfrm>
        <a:prstGeom prst="rect">
          <a:avLst/>
        </a:prstGeom>
      </xdr:spPr>
    </xdr:pic>
    <xdr:clientData/>
  </xdr:twoCellAnchor>
  <xdr:twoCellAnchor editAs="oneCell">
    <xdr:from>
      <xdr:col>18</xdr:col>
      <xdr:colOff>430889</xdr:colOff>
      <xdr:row>7</xdr:row>
      <xdr:rowOff>35168</xdr:rowOff>
    </xdr:from>
    <xdr:to>
      <xdr:col>29</xdr:col>
      <xdr:colOff>65678</xdr:colOff>
      <xdr:row>32</xdr:row>
      <xdr:rowOff>164594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EDD299-F878-5F61-CC26-660DE4757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00992" y="1500553"/>
          <a:ext cx="6369046" cy="468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560492</xdr:colOff>
      <xdr:row>0</xdr:row>
      <xdr:rowOff>0</xdr:rowOff>
    </xdr:from>
    <xdr:to>
      <xdr:col>28</xdr:col>
      <xdr:colOff>116416</xdr:colOff>
      <xdr:row>10</xdr:row>
      <xdr:rowOff>52417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38604A-C462-D637-D572-6B6738151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30595" y="15240"/>
          <a:ext cx="5677976" cy="18770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tronas-my.sharepoint.com/personal/mnabielizzuddin_radz_petronas_com/Documents/Reservoir%20Engineering/EOR%20ATLAS/EOR_Screening_Tool_2026.xlsx" TargetMode="External"/><Relationship Id="rId1" Type="http://schemas.openxmlformats.org/officeDocument/2006/relationships/externalLinkPath" Target="EOR_Screening_Tool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sorption"/>
      <sheetName val="UserGuide"/>
      <sheetName val="InputData"/>
      <sheetName val="Screening"/>
      <sheetName val="Ranking"/>
      <sheetName val="RF_EUR_Ranges"/>
      <sheetName val="Summary"/>
      <sheetName val="ScenarioControls"/>
      <sheetName val="Criteria"/>
      <sheetName val="References_2026"/>
      <sheetName val="Lists"/>
      <sheetName val="EOR_Data Gathering"/>
      <sheetName val="Coreflood"/>
      <sheetName val="Sor_f"/>
      <sheetName val="Challenges"/>
      <sheetName val="Vis_Shear"/>
      <sheetName val="Thermal"/>
      <sheetName val="Screening_Parameters"/>
      <sheetName val="Table_3_2_Peninsular_Ms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12D16-7F87-4BE1-A295-532C9567048D}" name="Table1" displayName="Table1" ref="A1:P38" totalsRowShown="0" headerRowDxfId="5">
  <autoFilter ref="A1:P38" xr:uid="{0E012D16-7F87-4BE1-A295-532C9567048D}"/>
  <tableColumns count="16">
    <tableColumn id="1" xr3:uid="{87CB307B-5206-4F3E-99A5-39BAA084855B}" name="Field"/>
    <tableColumn id="2" xr3:uid="{9262EB8B-C08C-409C-A917-EE9436BC2308}" name="Reservoir"/>
    <tableColumn id="3" xr3:uid="{CF911D16-C274-4302-B874-F03A1BC68D92}" name="STOIIP (MMSTB)" dataDxfId="4"/>
    <tableColumn id="4" xr3:uid="{C79EC1E6-7868-4FE0-BBAC-9DD587DBB52A}" name="Recovery_Factor_pct"/>
    <tableColumn id="5" xr3:uid="{2CC8B122-4C26-43DF-83CE-C28CC76BC394}" name="Present_EUR_MMSTB"/>
    <tableColumn id="6" xr3:uid="{4F7A2602-76EF-41DE-9A0B-B3E932E65DC2}" name="Avg_Porosity_pct"/>
    <tableColumn id="7" xr3:uid="{535094FB-1F6B-4110-9727-0F600B9D35EB}" name="Initial_Oil_Sat_pct"/>
    <tableColumn id="8" xr3:uid="{B89A0731-E443-42F4-8CB3-C2FB926AB31B}" name="Current_Oil_Sat_pct"/>
    <tableColumn id="9" xr3:uid="{3268C66E-0B5A-471A-B614-5904B31AB9A5}" name="Initial_Reservoir_Pressure_kPa"/>
    <tableColumn id="10" xr3:uid="{1A3BB28E-E327-47A9-8862-853D22554F6D}" name="Current_Reservoir_Pressure_kPa"/>
    <tableColumn id="11" xr3:uid="{4D357155-788A-47DF-A9B2-F533036E88F5}" name="Fracture_Pressure_kPa"/>
    <tableColumn id="12" xr3:uid="{EC499E01-E2B7-4807-9422-4BE437FBE8C0}" name="Reservoir_Temperature_C"/>
    <tableColumn id="13" xr3:uid="{18AE8894-6B49-499D-B086-21292F2C4EB2}" name="MOST SUITABLE PROCESS"/>
    <tableColumn id="14" xr3:uid="{469E2056-7AEB-446A-967D-32044AA91055}" name="OTHERS PASS METHOD"/>
    <tableColumn id="15" xr3:uid="{814D5E38-FA4D-48A0-AC59-9B79323F82F6}" name="INCREMENTAL EUR (%OOIP)"/>
    <tableColumn id="16" xr3:uid="{A331C468-4645-4983-8905-95110B0E3D78}" name="INCREMENTAL EUR (MMSTB)" dataDxfId="3">
      <calculatedColumnFormula>O2*C2/100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0C201-1AB8-4357-B34B-A1CB0332D07F}" name="Table3" displayName="Table3" ref="A1:F23" totalsRowShown="0" headerRowDxfId="2" headerRowBorderDxfId="0" tableBorderDxfId="1">
  <autoFilter ref="A1:F23" xr:uid="{3994E82A-395F-445C-9BDD-CA6363D1A92B}"/>
  <sortState xmlns:xlrd2="http://schemas.microsoft.com/office/spreadsheetml/2017/richdata2" ref="A2:F23">
    <sortCondition ref="B1:B23"/>
  </sortState>
  <tableColumns count="6">
    <tableColumn id="1" xr3:uid="{D3DF1D29-33C1-4BBF-9B1D-71794AB45F01}" name="Field"/>
    <tableColumn id="2" xr3:uid="{4370C9F3-2C29-407D-BDD3-98FB24688408}" name="Reservoir"/>
    <tableColumn id="3" xr3:uid="{855CFC63-A061-4F6D-8CB5-CCC8BFB4BFD8}" name="STOIIP_MMSTB"/>
    <tableColumn id="4" xr3:uid="{93774C45-1807-4DCD-9D9D-7C1C89A56344}" name="Most_Suitable_Process"/>
    <tableColumn id="5" xr3:uid="{94D17A34-B4EF-4CB7-943A-D384813A0E8F}" name="Incremental_EUR_pct_OOIP"/>
    <tableColumn id="6" xr3:uid="{CC7132AC-F568-4B30-95DA-BB731CEC36E1}" name="Incremental_EUR_MMSTB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28" sqref="C28"/>
    </sheetView>
  </sheetViews>
  <sheetFormatPr defaultRowHeight="14.5" x14ac:dyDescent="0.35"/>
  <cols>
    <col min="1" max="1" width="9.26953125" bestFit="1" customWidth="1"/>
    <col min="2" max="2" width="13.1796875" bestFit="1" customWidth="1"/>
    <col min="3" max="3" width="19.08984375" bestFit="1" customWidth="1"/>
    <col min="4" max="4" width="23" bestFit="1" customWidth="1"/>
    <col min="5" max="5" width="23.81640625" bestFit="1" customWidth="1"/>
    <col min="6" max="6" width="20" bestFit="1" customWidth="1"/>
    <col min="7" max="7" width="20.7265625" bestFit="1" customWidth="1"/>
    <col min="8" max="8" width="22.54296875" bestFit="1" customWidth="1"/>
    <col min="9" max="9" width="31.6328125" bestFit="1" customWidth="1"/>
    <col min="10" max="10" width="33.36328125" bestFit="1" customWidth="1"/>
    <col min="11" max="11" width="24.90625" bestFit="1" customWidth="1"/>
    <col min="12" max="12" width="27.54296875" bestFit="1" customWidth="1"/>
    <col min="13" max="13" width="26.81640625" bestFit="1" customWidth="1"/>
    <col min="14" max="14" width="24.81640625" bestFit="1" customWidth="1"/>
    <col min="15" max="15" width="29" bestFit="1" customWidth="1"/>
    <col min="16" max="16" width="29.7265625" bestFit="1" customWidth="1"/>
  </cols>
  <sheetData>
    <row r="1" spans="1:16" x14ac:dyDescent="0.35">
      <c r="A1" s="1" t="s">
        <v>10</v>
      </c>
      <c r="B1" s="1" t="s">
        <v>0</v>
      </c>
      <c r="C1" s="3" t="s">
        <v>95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89</v>
      </c>
      <c r="N1" s="3" t="s">
        <v>121</v>
      </c>
      <c r="O1" s="3" t="s">
        <v>97</v>
      </c>
      <c r="P1" s="3" t="s">
        <v>98</v>
      </c>
    </row>
    <row r="2" spans="1:16" x14ac:dyDescent="0.35">
      <c r="A2" t="s">
        <v>52</v>
      </c>
      <c r="B2" t="s">
        <v>53</v>
      </c>
      <c r="C2" s="6">
        <v>137.61000000000001</v>
      </c>
      <c r="D2">
        <v>33.700000000000003</v>
      </c>
      <c r="E2">
        <v>46.4</v>
      </c>
      <c r="F2">
        <v>25</v>
      </c>
      <c r="G2">
        <v>59.1</v>
      </c>
      <c r="H2">
        <v>47.7</v>
      </c>
      <c r="I2">
        <v>12411</v>
      </c>
      <c r="J2">
        <v>8274</v>
      </c>
      <c r="K2">
        <v>17505</v>
      </c>
      <c r="L2">
        <v>102</v>
      </c>
      <c r="M2" t="s">
        <v>46</v>
      </c>
      <c r="N2" t="s">
        <v>109</v>
      </c>
      <c r="O2">
        <v>19</v>
      </c>
      <c r="P2">
        <v>26</v>
      </c>
    </row>
    <row r="3" spans="1:16" x14ac:dyDescent="0.35">
      <c r="A3" t="s">
        <v>52</v>
      </c>
      <c r="B3" t="s">
        <v>54</v>
      </c>
      <c r="C3" s="6">
        <v>235.12</v>
      </c>
      <c r="D3">
        <v>39.200000000000003</v>
      </c>
      <c r="E3">
        <v>92.2</v>
      </c>
      <c r="F3">
        <v>25</v>
      </c>
      <c r="G3">
        <v>61.9</v>
      </c>
      <c r="H3">
        <v>51.9</v>
      </c>
      <c r="I3">
        <v>12411</v>
      </c>
      <c r="J3">
        <v>8274</v>
      </c>
      <c r="K3">
        <v>17505</v>
      </c>
      <c r="L3">
        <v>102</v>
      </c>
      <c r="M3" t="s">
        <v>46</v>
      </c>
      <c r="N3" t="s">
        <v>110</v>
      </c>
      <c r="O3">
        <v>17</v>
      </c>
      <c r="P3">
        <v>40</v>
      </c>
    </row>
    <row r="4" spans="1:16" x14ac:dyDescent="0.35">
      <c r="A4" t="s">
        <v>52</v>
      </c>
      <c r="B4" t="s">
        <v>55</v>
      </c>
      <c r="C4" s="6">
        <v>86.93</v>
      </c>
      <c r="D4">
        <v>39.6</v>
      </c>
      <c r="E4">
        <v>34.4</v>
      </c>
      <c r="F4">
        <v>25</v>
      </c>
      <c r="G4">
        <v>66.599999999999994</v>
      </c>
      <c r="H4">
        <v>52.2</v>
      </c>
      <c r="I4">
        <v>12411</v>
      </c>
      <c r="J4">
        <v>9653</v>
      </c>
      <c r="K4">
        <v>17505</v>
      </c>
      <c r="L4">
        <v>102</v>
      </c>
      <c r="M4" t="s">
        <v>46</v>
      </c>
      <c r="N4" t="s">
        <v>111</v>
      </c>
      <c r="O4">
        <v>9</v>
      </c>
      <c r="P4">
        <v>8</v>
      </c>
    </row>
    <row r="5" spans="1:16" x14ac:dyDescent="0.35">
      <c r="A5" t="s">
        <v>15</v>
      </c>
      <c r="B5" t="s">
        <v>56</v>
      </c>
      <c r="C5" s="6">
        <v>124.1</v>
      </c>
      <c r="D5">
        <v>31.1</v>
      </c>
      <c r="E5">
        <v>38.6</v>
      </c>
      <c r="F5">
        <v>28</v>
      </c>
      <c r="G5">
        <v>66</v>
      </c>
      <c r="H5">
        <v>52.8</v>
      </c>
      <c r="I5">
        <v>12169</v>
      </c>
      <c r="J5">
        <v>8274</v>
      </c>
      <c r="K5">
        <v>16826</v>
      </c>
      <c r="L5">
        <v>99</v>
      </c>
      <c r="M5" t="s">
        <v>112</v>
      </c>
      <c r="N5" t="s">
        <v>113</v>
      </c>
      <c r="O5">
        <v>7</v>
      </c>
      <c r="P5" s="4">
        <v>17</v>
      </c>
    </row>
    <row r="6" spans="1:16" x14ac:dyDescent="0.35">
      <c r="A6" t="s">
        <v>15</v>
      </c>
      <c r="B6" t="s">
        <v>99</v>
      </c>
      <c r="C6" s="6">
        <v>90.18</v>
      </c>
      <c r="D6">
        <v>30.6</v>
      </c>
      <c r="E6">
        <v>27.6</v>
      </c>
      <c r="F6">
        <v>28</v>
      </c>
      <c r="G6">
        <v>65.3</v>
      </c>
      <c r="H6">
        <v>52.4</v>
      </c>
      <c r="I6">
        <v>12066</v>
      </c>
      <c r="J6">
        <v>9653</v>
      </c>
      <c r="K6">
        <v>16827</v>
      </c>
      <c r="L6">
        <v>99</v>
      </c>
      <c r="M6" t="s">
        <v>47</v>
      </c>
      <c r="N6" t="s">
        <v>114</v>
      </c>
      <c r="O6">
        <v>22</v>
      </c>
      <c r="P6" s="5">
        <f t="shared" ref="P6:P38" si="0">O6*C6/100</f>
        <v>19.839600000000001</v>
      </c>
    </row>
    <row r="7" spans="1:16" x14ac:dyDescent="0.35">
      <c r="A7" t="s">
        <v>59</v>
      </c>
      <c r="B7" t="s">
        <v>33</v>
      </c>
      <c r="C7" s="6">
        <v>53.8</v>
      </c>
      <c r="D7">
        <v>36</v>
      </c>
      <c r="E7">
        <v>9.4</v>
      </c>
      <c r="F7">
        <v>23</v>
      </c>
      <c r="G7">
        <v>60</v>
      </c>
      <c r="H7">
        <v>59.3</v>
      </c>
      <c r="I7">
        <v>20616</v>
      </c>
      <c r="J7">
        <v>20340</v>
      </c>
      <c r="K7">
        <v>28660</v>
      </c>
      <c r="L7">
        <v>116</v>
      </c>
      <c r="M7" t="s">
        <v>46</v>
      </c>
      <c r="N7" t="s">
        <v>115</v>
      </c>
      <c r="O7">
        <v>50</v>
      </c>
      <c r="P7" s="5">
        <f t="shared" si="0"/>
        <v>26.9</v>
      </c>
    </row>
    <row r="8" spans="1:16" x14ac:dyDescent="0.35">
      <c r="A8" t="s">
        <v>59</v>
      </c>
      <c r="B8" t="s">
        <v>34</v>
      </c>
      <c r="C8" s="6">
        <v>9.6</v>
      </c>
      <c r="D8">
        <v>32</v>
      </c>
      <c r="E8">
        <v>3</v>
      </c>
      <c r="F8">
        <v>15</v>
      </c>
      <c r="G8">
        <v>50</v>
      </c>
      <c r="H8">
        <v>48.4</v>
      </c>
      <c r="I8">
        <v>22133</v>
      </c>
      <c r="J8">
        <v>20244</v>
      </c>
      <c r="K8">
        <v>32012</v>
      </c>
      <c r="L8">
        <v>127</v>
      </c>
      <c r="M8" t="s">
        <v>48</v>
      </c>
      <c r="N8" t="s">
        <v>46</v>
      </c>
      <c r="O8">
        <v>14</v>
      </c>
      <c r="P8" s="5">
        <f t="shared" si="0"/>
        <v>1.3440000000000001</v>
      </c>
    </row>
    <row r="9" spans="1:16" x14ac:dyDescent="0.35">
      <c r="A9" t="s">
        <v>100</v>
      </c>
      <c r="B9" t="s">
        <v>35</v>
      </c>
      <c r="C9" s="6">
        <v>8.5</v>
      </c>
      <c r="D9">
        <v>18.8</v>
      </c>
      <c r="E9">
        <v>1.6</v>
      </c>
      <c r="F9">
        <v>16</v>
      </c>
      <c r="G9">
        <v>44</v>
      </c>
      <c r="H9">
        <v>43</v>
      </c>
      <c r="I9">
        <v>27125</v>
      </c>
      <c r="J9">
        <v>27125</v>
      </c>
      <c r="K9">
        <v>37290.36</v>
      </c>
      <c r="L9">
        <v>144</v>
      </c>
      <c r="M9" t="s">
        <v>48</v>
      </c>
      <c r="N9" t="s">
        <v>116</v>
      </c>
      <c r="O9">
        <v>41</v>
      </c>
      <c r="P9" s="5">
        <f t="shared" si="0"/>
        <v>3.4849999999999999</v>
      </c>
    </row>
    <row r="10" spans="1:16" x14ac:dyDescent="0.35">
      <c r="A10" t="s">
        <v>18</v>
      </c>
      <c r="B10" t="s">
        <v>34</v>
      </c>
      <c r="C10" s="6">
        <v>30.34</v>
      </c>
      <c r="D10">
        <v>56.6</v>
      </c>
      <c r="E10">
        <v>17.2</v>
      </c>
      <c r="F10">
        <v>18.399999999999999</v>
      </c>
      <c r="G10">
        <v>64</v>
      </c>
      <c r="H10">
        <v>63.4</v>
      </c>
      <c r="I10">
        <v>22533</v>
      </c>
      <c r="J10">
        <v>22533</v>
      </c>
      <c r="K10">
        <v>31373</v>
      </c>
      <c r="L10">
        <v>132</v>
      </c>
      <c r="M10" t="s">
        <v>117</v>
      </c>
      <c r="N10" t="s">
        <v>111</v>
      </c>
      <c r="O10">
        <v>25</v>
      </c>
      <c r="P10" s="5">
        <f t="shared" si="0"/>
        <v>7.585</v>
      </c>
    </row>
    <row r="11" spans="1:16" x14ac:dyDescent="0.35">
      <c r="A11" t="s">
        <v>27</v>
      </c>
      <c r="B11" t="s">
        <v>44</v>
      </c>
      <c r="C11" s="6">
        <v>61.36</v>
      </c>
      <c r="D11">
        <v>45.8</v>
      </c>
      <c r="E11">
        <v>28.1</v>
      </c>
      <c r="F11">
        <v>21.2</v>
      </c>
      <c r="G11">
        <v>73.3</v>
      </c>
      <c r="H11">
        <v>63.6</v>
      </c>
      <c r="I11">
        <v>19761</v>
      </c>
      <c r="J11">
        <v>17237</v>
      </c>
      <c r="K11">
        <v>27791</v>
      </c>
      <c r="L11">
        <v>118</v>
      </c>
      <c r="M11" t="s">
        <v>48</v>
      </c>
      <c r="N11" s="4" t="s">
        <v>120</v>
      </c>
      <c r="O11" s="4">
        <v>26</v>
      </c>
      <c r="P11" s="5">
        <f t="shared" si="0"/>
        <v>15.9536</v>
      </c>
    </row>
    <row r="12" spans="1:16" x14ac:dyDescent="0.35">
      <c r="A12" t="s">
        <v>27</v>
      </c>
      <c r="B12" t="s">
        <v>45</v>
      </c>
      <c r="C12" s="6">
        <v>17.13</v>
      </c>
      <c r="D12">
        <v>24.2</v>
      </c>
      <c r="E12">
        <v>4.0999999999999996</v>
      </c>
      <c r="F12">
        <v>0.182</v>
      </c>
      <c r="G12">
        <v>56.3</v>
      </c>
      <c r="H12">
        <v>49.3</v>
      </c>
      <c r="I12">
        <v>21870</v>
      </c>
      <c r="J12">
        <v>18272</v>
      </c>
      <c r="K12">
        <v>30329</v>
      </c>
      <c r="L12">
        <v>128</v>
      </c>
      <c r="M12" t="s">
        <v>48</v>
      </c>
      <c r="N12" t="s">
        <v>46</v>
      </c>
      <c r="O12">
        <v>35</v>
      </c>
      <c r="P12" s="5">
        <f t="shared" si="0"/>
        <v>5.9954999999999998</v>
      </c>
    </row>
    <row r="13" spans="1:16" x14ac:dyDescent="0.35">
      <c r="A13" t="s">
        <v>20</v>
      </c>
      <c r="B13" t="s">
        <v>60</v>
      </c>
      <c r="C13" s="6">
        <v>44.05</v>
      </c>
      <c r="D13">
        <v>55</v>
      </c>
      <c r="E13">
        <v>24</v>
      </c>
      <c r="F13">
        <v>25</v>
      </c>
      <c r="G13">
        <v>73.7</v>
      </c>
      <c r="H13">
        <v>40</v>
      </c>
      <c r="I13">
        <v>17602</v>
      </c>
      <c r="J13">
        <v>15079</v>
      </c>
      <c r="K13">
        <v>24507</v>
      </c>
      <c r="L13">
        <v>87</v>
      </c>
      <c r="M13" t="s">
        <v>118</v>
      </c>
      <c r="N13" t="s">
        <v>119</v>
      </c>
      <c r="O13">
        <v>5</v>
      </c>
      <c r="P13" s="5">
        <f t="shared" si="0"/>
        <v>2.2025000000000001</v>
      </c>
    </row>
    <row r="14" spans="1:16" x14ac:dyDescent="0.35">
      <c r="A14" t="s">
        <v>21</v>
      </c>
      <c r="B14" t="s">
        <v>39</v>
      </c>
      <c r="C14" s="6">
        <v>105.6</v>
      </c>
      <c r="D14">
        <v>34</v>
      </c>
      <c r="E14">
        <v>36</v>
      </c>
      <c r="F14">
        <v>24</v>
      </c>
      <c r="G14">
        <v>67</v>
      </c>
      <c r="H14">
        <v>51.4</v>
      </c>
      <c r="I14">
        <v>15580</v>
      </c>
      <c r="J14">
        <v>14610</v>
      </c>
      <c r="K14">
        <v>20002</v>
      </c>
      <c r="L14">
        <v>103</v>
      </c>
      <c r="M14" t="s">
        <v>50</v>
      </c>
      <c r="N14" t="s">
        <v>103</v>
      </c>
      <c r="O14">
        <v>5</v>
      </c>
      <c r="P14" s="5">
        <f t="shared" si="0"/>
        <v>5.28</v>
      </c>
    </row>
    <row r="15" spans="1:16" x14ac:dyDescent="0.35">
      <c r="A15" t="s">
        <v>84</v>
      </c>
      <c r="B15" t="s">
        <v>85</v>
      </c>
      <c r="C15" s="6">
        <v>96.1</v>
      </c>
      <c r="D15">
        <v>43.1</v>
      </c>
      <c r="E15">
        <v>41.4</v>
      </c>
      <c r="F15">
        <v>31.4</v>
      </c>
      <c r="G15">
        <v>79</v>
      </c>
      <c r="H15">
        <v>65.7</v>
      </c>
      <c r="I15">
        <v>9749</v>
      </c>
      <c r="J15">
        <v>8549</v>
      </c>
      <c r="K15">
        <v>13624</v>
      </c>
      <c r="L15">
        <v>85</v>
      </c>
      <c r="M15" t="s">
        <v>50</v>
      </c>
      <c r="N15" t="s">
        <v>103</v>
      </c>
      <c r="O15">
        <v>3</v>
      </c>
      <c r="P15" s="5">
        <f t="shared" si="0"/>
        <v>2.8829999999999996</v>
      </c>
    </row>
    <row r="16" spans="1:16" x14ac:dyDescent="0.35">
      <c r="A16" t="s">
        <v>23</v>
      </c>
      <c r="B16" t="s">
        <v>36</v>
      </c>
      <c r="C16" s="6">
        <v>146.47999999999999</v>
      </c>
      <c r="D16">
        <v>28.6</v>
      </c>
      <c r="E16">
        <v>18</v>
      </c>
      <c r="G16">
        <v>45</v>
      </c>
      <c r="H16">
        <v>34.4</v>
      </c>
      <c r="I16">
        <v>19060</v>
      </c>
      <c r="J16">
        <v>15620</v>
      </c>
      <c r="K16">
        <v>25471</v>
      </c>
      <c r="L16">
        <v>118</v>
      </c>
      <c r="M16" t="s">
        <v>46</v>
      </c>
      <c r="N16" t="s">
        <v>103</v>
      </c>
      <c r="O16">
        <v>14</v>
      </c>
      <c r="P16" s="5">
        <f t="shared" si="0"/>
        <v>20.507199999999997</v>
      </c>
    </row>
    <row r="17" spans="1:16" x14ac:dyDescent="0.35">
      <c r="A17" t="s">
        <v>86</v>
      </c>
      <c r="B17" t="s">
        <v>37</v>
      </c>
      <c r="C17" s="6">
        <v>208.2</v>
      </c>
      <c r="D17">
        <v>32</v>
      </c>
      <c r="E17">
        <v>67.5</v>
      </c>
      <c r="F17">
        <v>20</v>
      </c>
      <c r="G17">
        <v>43.7</v>
      </c>
      <c r="H17">
        <v>31.3</v>
      </c>
      <c r="I17">
        <v>15620</v>
      </c>
      <c r="J17">
        <v>11550</v>
      </c>
      <c r="K17">
        <v>21997</v>
      </c>
      <c r="L17">
        <v>118</v>
      </c>
      <c r="M17" t="s">
        <v>48</v>
      </c>
      <c r="N17" t="s">
        <v>46</v>
      </c>
      <c r="O17">
        <v>7</v>
      </c>
      <c r="P17" s="5">
        <f t="shared" si="0"/>
        <v>14.573999999999998</v>
      </c>
    </row>
    <row r="18" spans="1:16" x14ac:dyDescent="0.35">
      <c r="A18" t="s">
        <v>24</v>
      </c>
      <c r="B18" t="s">
        <v>41</v>
      </c>
      <c r="C18" s="6">
        <v>145.19999999999999</v>
      </c>
      <c r="D18">
        <v>42.2</v>
      </c>
      <c r="E18">
        <v>61.3</v>
      </c>
      <c r="F18">
        <v>20</v>
      </c>
      <c r="G18">
        <v>50</v>
      </c>
      <c r="H18">
        <v>32</v>
      </c>
      <c r="I18">
        <v>17000</v>
      </c>
      <c r="J18">
        <v>13000</v>
      </c>
      <c r="K18">
        <v>21916</v>
      </c>
      <c r="L18">
        <v>110</v>
      </c>
      <c r="M18" t="s">
        <v>48</v>
      </c>
      <c r="N18" t="s">
        <v>46</v>
      </c>
      <c r="O18">
        <v>18</v>
      </c>
      <c r="P18" s="5">
        <f t="shared" si="0"/>
        <v>26.135999999999999</v>
      </c>
    </row>
    <row r="19" spans="1:16" x14ac:dyDescent="0.35">
      <c r="A19" t="s">
        <v>88</v>
      </c>
      <c r="B19" t="s">
        <v>42</v>
      </c>
      <c r="C19" s="6">
        <v>208.2</v>
      </c>
      <c r="D19">
        <v>45.6</v>
      </c>
      <c r="E19">
        <v>375.1</v>
      </c>
      <c r="F19">
        <v>20.5</v>
      </c>
      <c r="G19">
        <v>50</v>
      </c>
      <c r="H19">
        <v>31.4</v>
      </c>
      <c r="I19">
        <v>18500</v>
      </c>
      <c r="J19">
        <v>15500</v>
      </c>
      <c r="K19">
        <v>24399</v>
      </c>
      <c r="L19">
        <v>120</v>
      </c>
      <c r="M19" t="s">
        <v>48</v>
      </c>
      <c r="N19" t="s">
        <v>46</v>
      </c>
      <c r="O19">
        <v>22</v>
      </c>
      <c r="P19" s="5">
        <f t="shared" si="0"/>
        <v>45.803999999999995</v>
      </c>
    </row>
    <row r="20" spans="1:16" x14ac:dyDescent="0.35">
      <c r="A20" t="s">
        <v>87</v>
      </c>
      <c r="B20" t="s">
        <v>37</v>
      </c>
      <c r="C20" s="6">
        <v>527.29999999999995</v>
      </c>
      <c r="M20" t="s">
        <v>48</v>
      </c>
      <c r="O20">
        <v>26</v>
      </c>
      <c r="P20" s="5">
        <f t="shared" si="0"/>
        <v>137.09799999999998</v>
      </c>
    </row>
    <row r="21" spans="1:16" x14ac:dyDescent="0.35">
      <c r="A21" t="s">
        <v>87</v>
      </c>
      <c r="B21" t="s">
        <v>36</v>
      </c>
      <c r="C21" s="6">
        <v>260.60000000000002</v>
      </c>
      <c r="M21" t="s">
        <v>48</v>
      </c>
      <c r="O21">
        <v>22</v>
      </c>
      <c r="P21" s="5">
        <f t="shared" si="0"/>
        <v>57.332000000000008</v>
      </c>
    </row>
    <row r="22" spans="1:16" x14ac:dyDescent="0.35">
      <c r="A22" t="s">
        <v>82</v>
      </c>
      <c r="B22" t="s">
        <v>83</v>
      </c>
      <c r="C22" s="6">
        <v>248</v>
      </c>
      <c r="M22" t="s">
        <v>101</v>
      </c>
      <c r="O22">
        <v>23</v>
      </c>
      <c r="P22" s="5">
        <f t="shared" si="0"/>
        <v>57.04</v>
      </c>
    </row>
    <row r="23" spans="1:16" x14ac:dyDescent="0.35">
      <c r="A23" t="s">
        <v>26</v>
      </c>
      <c r="B23" t="s">
        <v>38</v>
      </c>
      <c r="C23" s="6">
        <v>98.45</v>
      </c>
      <c r="D23">
        <v>59</v>
      </c>
      <c r="E23">
        <v>58</v>
      </c>
      <c r="F23">
        <v>27</v>
      </c>
      <c r="G23">
        <v>59.4</v>
      </c>
      <c r="H23">
        <v>25.4</v>
      </c>
      <c r="I23">
        <v>13135</v>
      </c>
      <c r="J23">
        <v>11239</v>
      </c>
      <c r="K23">
        <v>18156</v>
      </c>
      <c r="L23">
        <v>91</v>
      </c>
      <c r="M23" t="s">
        <v>48</v>
      </c>
      <c r="N23" t="s">
        <v>104</v>
      </c>
      <c r="O23">
        <v>5</v>
      </c>
      <c r="P23" s="5">
        <f t="shared" si="0"/>
        <v>4.9225000000000003</v>
      </c>
    </row>
    <row r="24" spans="1:16" x14ac:dyDescent="0.35">
      <c r="A24" t="s">
        <v>81</v>
      </c>
      <c r="B24" t="s">
        <v>57</v>
      </c>
      <c r="C24" s="6">
        <v>92.8</v>
      </c>
      <c r="D24">
        <v>66.7</v>
      </c>
      <c r="E24">
        <v>61.9</v>
      </c>
      <c r="F24">
        <v>17.5</v>
      </c>
      <c r="G24">
        <v>60</v>
      </c>
      <c r="H24">
        <v>46.5</v>
      </c>
      <c r="I24">
        <v>23580</v>
      </c>
      <c r="J24">
        <v>22918</v>
      </c>
      <c r="K24">
        <v>32392</v>
      </c>
      <c r="L24">
        <v>80</v>
      </c>
      <c r="M24" t="s">
        <v>46</v>
      </c>
      <c r="N24" t="s">
        <v>103</v>
      </c>
      <c r="O24">
        <v>34</v>
      </c>
      <c r="P24" s="5">
        <f t="shared" si="0"/>
        <v>31.552</v>
      </c>
    </row>
    <row r="25" spans="1:16" x14ac:dyDescent="0.35">
      <c r="A25" t="s">
        <v>79</v>
      </c>
      <c r="B25" t="s">
        <v>80</v>
      </c>
      <c r="C25" s="6">
        <v>111.3</v>
      </c>
      <c r="D25">
        <v>54.7</v>
      </c>
      <c r="E25">
        <v>60.9</v>
      </c>
      <c r="F25">
        <v>23</v>
      </c>
      <c r="G25">
        <v>77</v>
      </c>
      <c r="H25">
        <v>49.8</v>
      </c>
      <c r="I25">
        <v>7191</v>
      </c>
      <c r="J25">
        <v>4033</v>
      </c>
      <c r="K25">
        <v>8278</v>
      </c>
      <c r="L25">
        <v>52.8</v>
      </c>
      <c r="M25" t="s">
        <v>90</v>
      </c>
      <c r="N25" t="s">
        <v>103</v>
      </c>
      <c r="O25">
        <v>2</v>
      </c>
      <c r="P25" s="5">
        <f t="shared" si="0"/>
        <v>2.226</v>
      </c>
    </row>
    <row r="26" spans="1:16" x14ac:dyDescent="0.35">
      <c r="A26" t="s">
        <v>77</v>
      </c>
      <c r="B26" t="s">
        <v>78</v>
      </c>
      <c r="C26" s="6">
        <v>70.8</v>
      </c>
      <c r="M26" t="s">
        <v>46</v>
      </c>
      <c r="O26">
        <v>18</v>
      </c>
      <c r="P26" s="5">
        <f t="shared" si="0"/>
        <v>12.743999999999998</v>
      </c>
    </row>
    <row r="27" spans="1:16" x14ac:dyDescent="0.35">
      <c r="A27" t="s">
        <v>76</v>
      </c>
      <c r="B27" t="s">
        <v>58</v>
      </c>
      <c r="C27" s="6">
        <v>51.2</v>
      </c>
      <c r="D27">
        <v>57.7</v>
      </c>
      <c r="E27">
        <v>29.6</v>
      </c>
      <c r="F27">
        <v>26.4</v>
      </c>
      <c r="G27">
        <v>73</v>
      </c>
      <c r="H27">
        <v>31.9</v>
      </c>
      <c r="I27">
        <v>23546</v>
      </c>
      <c r="J27">
        <v>17065</v>
      </c>
      <c r="K27">
        <v>32256</v>
      </c>
      <c r="L27">
        <v>89</v>
      </c>
      <c r="M27" t="s">
        <v>46</v>
      </c>
      <c r="N27" t="s">
        <v>105</v>
      </c>
      <c r="O27">
        <v>9</v>
      </c>
      <c r="P27" s="5">
        <f t="shared" si="0"/>
        <v>4.6080000000000005</v>
      </c>
    </row>
    <row r="28" spans="1:16" x14ac:dyDescent="0.35">
      <c r="A28" t="s">
        <v>74</v>
      </c>
      <c r="B28" t="s">
        <v>75</v>
      </c>
      <c r="C28" s="6">
        <v>123</v>
      </c>
      <c r="D28">
        <v>19.5</v>
      </c>
      <c r="E28">
        <v>24</v>
      </c>
      <c r="F28">
        <v>25</v>
      </c>
      <c r="G28">
        <v>50</v>
      </c>
      <c r="H28">
        <v>39.1</v>
      </c>
      <c r="I28">
        <v>12273</v>
      </c>
      <c r="J28">
        <v>9653</v>
      </c>
      <c r="K28">
        <v>16541</v>
      </c>
      <c r="L28">
        <v>94</v>
      </c>
      <c r="M28" t="s">
        <v>46</v>
      </c>
      <c r="N28" t="s">
        <v>105</v>
      </c>
      <c r="O28">
        <v>23</v>
      </c>
      <c r="P28" s="5">
        <f t="shared" si="0"/>
        <v>28.29</v>
      </c>
    </row>
    <row r="29" spans="1:16" x14ac:dyDescent="0.35">
      <c r="A29" t="s">
        <v>72</v>
      </c>
      <c r="B29" t="s">
        <v>73</v>
      </c>
      <c r="C29" s="6">
        <v>86.84</v>
      </c>
      <c r="M29" t="s">
        <v>46</v>
      </c>
      <c r="O29">
        <v>16</v>
      </c>
      <c r="P29" s="5">
        <f t="shared" si="0"/>
        <v>13.894400000000001</v>
      </c>
    </row>
    <row r="30" spans="1:16" x14ac:dyDescent="0.35">
      <c r="A30" t="s">
        <v>69</v>
      </c>
      <c r="B30" t="s">
        <v>71</v>
      </c>
      <c r="C30" s="6">
        <v>69.2</v>
      </c>
      <c r="D30">
        <v>13</v>
      </c>
      <c r="E30">
        <v>9</v>
      </c>
      <c r="F30">
        <v>22</v>
      </c>
      <c r="G30">
        <v>59</v>
      </c>
      <c r="H30">
        <v>48.4</v>
      </c>
      <c r="I30">
        <v>11549</v>
      </c>
      <c r="J30">
        <v>5516</v>
      </c>
      <c r="K30">
        <v>14479</v>
      </c>
      <c r="L30">
        <v>64</v>
      </c>
      <c r="M30" t="s">
        <v>91</v>
      </c>
      <c r="N30" t="s">
        <v>90</v>
      </c>
      <c r="O30">
        <v>8</v>
      </c>
      <c r="P30" s="5">
        <f t="shared" si="0"/>
        <v>5.5360000000000005</v>
      </c>
    </row>
    <row r="31" spans="1:16" x14ac:dyDescent="0.35">
      <c r="A31" t="s">
        <v>69</v>
      </c>
      <c r="B31" t="s">
        <v>70</v>
      </c>
      <c r="C31" s="6">
        <v>47.1</v>
      </c>
      <c r="D31">
        <v>19.100000000000001</v>
      </c>
      <c r="E31">
        <v>9</v>
      </c>
      <c r="F31">
        <v>22</v>
      </c>
      <c r="G31">
        <v>59</v>
      </c>
      <c r="H31">
        <v>46</v>
      </c>
      <c r="I31">
        <v>8274</v>
      </c>
      <c r="J31">
        <v>4137</v>
      </c>
      <c r="K31">
        <v>10340</v>
      </c>
      <c r="L31">
        <v>56</v>
      </c>
      <c r="M31" t="s">
        <v>91</v>
      </c>
      <c r="O31">
        <v>3</v>
      </c>
      <c r="P31" s="5">
        <f t="shared" si="0"/>
        <v>1.413</v>
      </c>
    </row>
    <row r="32" spans="1:16" x14ac:dyDescent="0.35">
      <c r="A32" t="s">
        <v>67</v>
      </c>
      <c r="B32" t="s">
        <v>68</v>
      </c>
      <c r="C32" s="6">
        <v>41.7</v>
      </c>
      <c r="D32">
        <v>21.6</v>
      </c>
      <c r="E32">
        <v>9</v>
      </c>
      <c r="F32">
        <v>22</v>
      </c>
      <c r="G32">
        <v>65</v>
      </c>
      <c r="H32">
        <v>49.7</v>
      </c>
      <c r="I32">
        <v>7998</v>
      </c>
      <c r="J32">
        <v>4137</v>
      </c>
      <c r="K32">
        <v>10340</v>
      </c>
      <c r="L32">
        <v>56</v>
      </c>
      <c r="M32" t="s">
        <v>91</v>
      </c>
      <c r="N32" t="s">
        <v>90</v>
      </c>
      <c r="O32">
        <v>1</v>
      </c>
      <c r="P32" s="5">
        <f t="shared" si="0"/>
        <v>0.41700000000000004</v>
      </c>
    </row>
    <row r="33" spans="1:16" x14ac:dyDescent="0.35">
      <c r="A33" t="s">
        <v>65</v>
      </c>
      <c r="B33" t="s">
        <v>66</v>
      </c>
      <c r="C33" s="6">
        <v>552</v>
      </c>
      <c r="D33">
        <v>37.9</v>
      </c>
      <c r="E33">
        <v>208.9</v>
      </c>
      <c r="F33">
        <v>20</v>
      </c>
      <c r="G33">
        <v>73</v>
      </c>
      <c r="H33">
        <v>53</v>
      </c>
      <c r="I33">
        <v>7205</v>
      </c>
      <c r="J33">
        <v>3344</v>
      </c>
      <c r="K33">
        <v>9309</v>
      </c>
      <c r="L33">
        <v>52</v>
      </c>
      <c r="M33" t="s">
        <v>47</v>
      </c>
      <c r="N33" t="s">
        <v>107</v>
      </c>
      <c r="O33">
        <v>18</v>
      </c>
      <c r="P33" s="5">
        <f t="shared" si="0"/>
        <v>99.36</v>
      </c>
    </row>
    <row r="34" spans="1:16" x14ac:dyDescent="0.35">
      <c r="A34" t="s">
        <v>63</v>
      </c>
      <c r="B34" t="s">
        <v>64</v>
      </c>
      <c r="C34" s="6">
        <v>51.1</v>
      </c>
      <c r="D34">
        <v>32.5</v>
      </c>
      <c r="E34">
        <v>16.600000000000001</v>
      </c>
      <c r="F34">
        <v>15</v>
      </c>
      <c r="G34">
        <v>47</v>
      </c>
      <c r="H34">
        <v>42.9</v>
      </c>
      <c r="I34">
        <v>28814</v>
      </c>
      <c r="J34">
        <v>24132</v>
      </c>
      <c r="K34">
        <v>33911</v>
      </c>
      <c r="L34">
        <v>93</v>
      </c>
      <c r="M34" t="s">
        <v>46</v>
      </c>
      <c r="N34" t="s">
        <v>108</v>
      </c>
      <c r="O34">
        <v>37</v>
      </c>
      <c r="P34" s="5">
        <f t="shared" si="0"/>
        <v>18.907</v>
      </c>
    </row>
    <row r="35" spans="1:16" x14ac:dyDescent="0.35">
      <c r="A35" t="s">
        <v>61</v>
      </c>
      <c r="B35" t="s">
        <v>62</v>
      </c>
      <c r="C35" s="6">
        <v>32.700000000000003</v>
      </c>
      <c r="D35">
        <v>22.7</v>
      </c>
      <c r="E35">
        <v>7.4</v>
      </c>
      <c r="F35">
        <v>16</v>
      </c>
      <c r="G35">
        <v>60</v>
      </c>
      <c r="H35">
        <v>47.9</v>
      </c>
      <c r="I35">
        <v>11880</v>
      </c>
      <c r="J35">
        <v>10866</v>
      </c>
      <c r="K35">
        <v>16378</v>
      </c>
      <c r="L35">
        <v>93</v>
      </c>
      <c r="M35" t="s">
        <v>46</v>
      </c>
      <c r="N35" t="s">
        <v>105</v>
      </c>
      <c r="O35">
        <v>32</v>
      </c>
      <c r="P35" s="5">
        <f t="shared" si="0"/>
        <v>10.464</v>
      </c>
    </row>
    <row r="36" spans="1:16" x14ac:dyDescent="0.35">
      <c r="A36" t="s">
        <v>92</v>
      </c>
      <c r="B36" t="s">
        <v>93</v>
      </c>
      <c r="C36" s="6">
        <v>56.3</v>
      </c>
      <c r="D36">
        <v>21.5</v>
      </c>
      <c r="E36">
        <v>12.1</v>
      </c>
      <c r="F36">
        <v>20</v>
      </c>
      <c r="G36">
        <v>65</v>
      </c>
      <c r="H36">
        <v>58.5</v>
      </c>
      <c r="I36">
        <v>18202</v>
      </c>
      <c r="J36">
        <v>13790</v>
      </c>
      <c r="K36">
        <v>23992</v>
      </c>
      <c r="L36">
        <v>113</v>
      </c>
      <c r="M36" t="s">
        <v>47</v>
      </c>
      <c r="N36" t="s">
        <v>106</v>
      </c>
      <c r="O36">
        <v>35</v>
      </c>
      <c r="P36" s="5">
        <f t="shared" si="0"/>
        <v>19.704999999999998</v>
      </c>
    </row>
    <row r="37" spans="1:16" x14ac:dyDescent="0.35">
      <c r="A37" t="s">
        <v>92</v>
      </c>
      <c r="B37" t="s">
        <v>94</v>
      </c>
      <c r="C37" s="6">
        <v>145.80000000000001</v>
      </c>
      <c r="D37">
        <v>29.7</v>
      </c>
      <c r="E37">
        <v>43.3</v>
      </c>
      <c r="F37">
        <v>20</v>
      </c>
      <c r="G37">
        <v>65</v>
      </c>
      <c r="H37">
        <v>48.5</v>
      </c>
      <c r="I37">
        <v>18202</v>
      </c>
      <c r="J37">
        <v>11721</v>
      </c>
      <c r="K37">
        <v>23992</v>
      </c>
      <c r="L37">
        <v>113</v>
      </c>
      <c r="M37" t="s">
        <v>46</v>
      </c>
      <c r="N37" t="s">
        <v>105</v>
      </c>
      <c r="O37">
        <v>17</v>
      </c>
      <c r="P37" s="5">
        <f t="shared" si="0"/>
        <v>24.786000000000005</v>
      </c>
    </row>
    <row r="38" spans="1:16" x14ac:dyDescent="0.35">
      <c r="A38" t="s">
        <v>96</v>
      </c>
      <c r="B38" t="s">
        <v>102</v>
      </c>
      <c r="C38" s="6">
        <v>22</v>
      </c>
      <c r="D38">
        <v>27.3</v>
      </c>
      <c r="E38">
        <v>6</v>
      </c>
      <c r="F38">
        <v>18.5</v>
      </c>
      <c r="G38">
        <v>57</v>
      </c>
      <c r="H38">
        <v>43.5</v>
      </c>
      <c r="I38">
        <v>13886</v>
      </c>
      <c r="J38">
        <v>13865</v>
      </c>
      <c r="K38">
        <v>19147</v>
      </c>
      <c r="L38">
        <v>68</v>
      </c>
      <c r="M38" t="s">
        <v>46</v>
      </c>
      <c r="N38" t="s">
        <v>105</v>
      </c>
      <c r="O38">
        <v>25</v>
      </c>
      <c r="P38" s="5">
        <f t="shared" si="0"/>
        <v>5.5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E9AA-83C5-4F70-A01E-AD5F7181A40F}">
  <dimension ref="A1:F23"/>
  <sheetViews>
    <sheetView tabSelected="1" workbookViewId="0">
      <selection activeCell="D6" sqref="D6"/>
    </sheetView>
  </sheetViews>
  <sheetFormatPr defaultRowHeight="14.5" x14ac:dyDescent="0.35"/>
  <cols>
    <col min="1" max="1" width="16.6328125" style="8" bestFit="1" customWidth="1"/>
    <col min="2" max="2" width="10.6328125" style="8" customWidth="1"/>
    <col min="3" max="3" width="15.7265625" style="8" customWidth="1"/>
    <col min="4" max="4" width="22.26953125" style="8" customWidth="1"/>
    <col min="5" max="5" width="26.26953125" style="8" customWidth="1"/>
    <col min="6" max="6" width="24.7265625" style="8" customWidth="1"/>
    <col min="7" max="16384" width="8.7265625" style="8"/>
  </cols>
  <sheetData>
    <row r="1" spans="1:6" x14ac:dyDescent="0.35">
      <c r="A1" s="7" t="s">
        <v>10</v>
      </c>
      <c r="B1" s="7" t="s">
        <v>0</v>
      </c>
      <c r="C1" s="7" t="s">
        <v>11</v>
      </c>
      <c r="D1" s="7" t="s">
        <v>12</v>
      </c>
      <c r="E1" s="7" t="s">
        <v>13</v>
      </c>
      <c r="F1" s="7" t="s">
        <v>14</v>
      </c>
    </row>
    <row r="2" spans="1:6" x14ac:dyDescent="0.35">
      <c r="A2" s="8" t="s">
        <v>15</v>
      </c>
      <c r="B2" s="8" t="s">
        <v>31</v>
      </c>
      <c r="C2" s="8">
        <v>137.61000000000001</v>
      </c>
      <c r="D2" s="8" t="s">
        <v>46</v>
      </c>
      <c r="E2" s="8">
        <v>19</v>
      </c>
      <c r="F2" s="8">
        <v>26</v>
      </c>
    </row>
    <row r="3" spans="1:6" x14ac:dyDescent="0.35">
      <c r="A3" s="8" t="s">
        <v>15</v>
      </c>
      <c r="B3" s="8" t="s">
        <v>28</v>
      </c>
      <c r="C3" s="8">
        <v>235.12</v>
      </c>
      <c r="D3" s="8" t="s">
        <v>46</v>
      </c>
      <c r="E3" s="8">
        <v>17</v>
      </c>
      <c r="F3" s="8">
        <v>40</v>
      </c>
    </row>
    <row r="4" spans="1:6" x14ac:dyDescent="0.35">
      <c r="A4" s="8" t="s">
        <v>15</v>
      </c>
      <c r="B4" s="8" t="s">
        <v>29</v>
      </c>
      <c r="C4" s="8">
        <v>86.93</v>
      </c>
      <c r="D4" s="8" t="s">
        <v>46</v>
      </c>
      <c r="E4" s="8">
        <v>9</v>
      </c>
      <c r="F4" s="8">
        <v>8</v>
      </c>
    </row>
    <row r="5" spans="1:6" x14ac:dyDescent="0.35">
      <c r="A5" s="8" t="s">
        <v>15</v>
      </c>
      <c r="B5" s="8" t="s">
        <v>30</v>
      </c>
      <c r="C5" s="8">
        <v>124.1</v>
      </c>
      <c r="D5" s="8" t="s">
        <v>46</v>
      </c>
      <c r="E5" s="8">
        <v>14</v>
      </c>
      <c r="F5" s="8">
        <v>17</v>
      </c>
    </row>
    <row r="6" spans="1:6" x14ac:dyDescent="0.35">
      <c r="A6" s="8" t="s">
        <v>22</v>
      </c>
      <c r="B6" s="8" t="s">
        <v>40</v>
      </c>
      <c r="C6" s="8">
        <v>96.1</v>
      </c>
      <c r="D6" s="8" t="s">
        <v>50</v>
      </c>
      <c r="E6" s="8">
        <v>3</v>
      </c>
      <c r="F6" s="8">
        <v>3</v>
      </c>
    </row>
    <row r="7" spans="1:6" x14ac:dyDescent="0.35">
      <c r="A7" s="8" t="s">
        <v>16</v>
      </c>
      <c r="B7" s="8" t="s">
        <v>33</v>
      </c>
      <c r="C7" s="8">
        <v>53.8</v>
      </c>
      <c r="D7" s="8" t="s">
        <v>46</v>
      </c>
      <c r="E7" s="8">
        <v>50</v>
      </c>
      <c r="F7" s="8">
        <v>27</v>
      </c>
    </row>
    <row r="8" spans="1:6" x14ac:dyDescent="0.35">
      <c r="A8" s="8" t="s">
        <v>27</v>
      </c>
      <c r="B8" s="8" t="s">
        <v>44</v>
      </c>
      <c r="C8" s="8">
        <v>61.36</v>
      </c>
      <c r="D8" s="8" t="s">
        <v>51</v>
      </c>
      <c r="E8" s="8">
        <v>33</v>
      </c>
      <c r="F8" s="8">
        <v>20</v>
      </c>
    </row>
    <row r="9" spans="1:6" x14ac:dyDescent="0.35">
      <c r="A9" s="8" t="s">
        <v>20</v>
      </c>
      <c r="B9" s="8" t="s">
        <v>38</v>
      </c>
      <c r="C9" s="8">
        <v>44.05</v>
      </c>
      <c r="D9" s="8" t="s">
        <v>48</v>
      </c>
      <c r="E9" s="8">
        <v>27</v>
      </c>
      <c r="F9" s="8">
        <v>12</v>
      </c>
    </row>
    <row r="10" spans="1:6" x14ac:dyDescent="0.35">
      <c r="A10" s="8" t="s">
        <v>26</v>
      </c>
      <c r="B10" s="8" t="s">
        <v>38</v>
      </c>
      <c r="C10" s="8">
        <v>98.45</v>
      </c>
      <c r="D10" s="8" t="s">
        <v>48</v>
      </c>
      <c r="E10" s="8">
        <v>5</v>
      </c>
      <c r="F10" s="8">
        <v>5</v>
      </c>
    </row>
    <row r="11" spans="1:6" x14ac:dyDescent="0.35">
      <c r="A11" s="8" t="s">
        <v>25</v>
      </c>
      <c r="B11" s="8" t="s">
        <v>43</v>
      </c>
      <c r="C11" s="8">
        <v>248</v>
      </c>
      <c r="D11" s="8" t="s">
        <v>48</v>
      </c>
      <c r="E11" s="8">
        <v>23</v>
      </c>
      <c r="F11" s="8">
        <v>58</v>
      </c>
    </row>
    <row r="12" spans="1:6" x14ac:dyDescent="0.35">
      <c r="A12" s="8" t="s">
        <v>27</v>
      </c>
      <c r="B12" s="8" t="s">
        <v>45</v>
      </c>
      <c r="C12" s="8">
        <v>17.13</v>
      </c>
      <c r="D12" s="8" t="s">
        <v>48</v>
      </c>
      <c r="E12" s="8">
        <v>35</v>
      </c>
      <c r="F12" s="8">
        <v>6</v>
      </c>
    </row>
    <row r="13" spans="1:6" x14ac:dyDescent="0.35">
      <c r="A13" s="8" t="s">
        <v>16</v>
      </c>
      <c r="B13" s="8" t="s">
        <v>34</v>
      </c>
      <c r="C13" s="8">
        <v>9.6</v>
      </c>
      <c r="D13" s="8" t="s">
        <v>46</v>
      </c>
      <c r="E13" s="8">
        <v>31</v>
      </c>
      <c r="F13" s="8">
        <v>3</v>
      </c>
    </row>
    <row r="14" spans="1:6" x14ac:dyDescent="0.35">
      <c r="A14" s="8" t="s">
        <v>18</v>
      </c>
      <c r="B14" s="8" t="s">
        <v>34</v>
      </c>
      <c r="C14" s="8">
        <v>30.34</v>
      </c>
      <c r="D14" s="8" t="s">
        <v>48</v>
      </c>
      <c r="E14" s="8">
        <v>25</v>
      </c>
      <c r="F14" s="8">
        <v>8</v>
      </c>
    </row>
    <row r="15" spans="1:6" x14ac:dyDescent="0.35">
      <c r="A15" s="8" t="s">
        <v>21</v>
      </c>
      <c r="B15" s="8" t="s">
        <v>39</v>
      </c>
      <c r="C15" s="8">
        <v>105.6</v>
      </c>
      <c r="D15" s="8" t="s">
        <v>49</v>
      </c>
      <c r="E15" s="8">
        <v>4</v>
      </c>
      <c r="F15" s="8">
        <v>5</v>
      </c>
    </row>
    <row r="16" spans="1:6" x14ac:dyDescent="0.35">
      <c r="A16" s="8" t="s">
        <v>17</v>
      </c>
      <c r="B16" s="8" t="s">
        <v>35</v>
      </c>
      <c r="C16" s="8">
        <v>8.5</v>
      </c>
      <c r="D16" s="8" t="s">
        <v>48</v>
      </c>
      <c r="E16" s="8">
        <v>41</v>
      </c>
      <c r="F16" s="8">
        <v>3</v>
      </c>
    </row>
    <row r="17" spans="1:6" x14ac:dyDescent="0.35">
      <c r="A17" s="8" t="s">
        <v>15</v>
      </c>
      <c r="B17" s="8" t="s">
        <v>32</v>
      </c>
      <c r="C17" s="8">
        <v>90.18</v>
      </c>
      <c r="D17" s="8" t="s">
        <v>47</v>
      </c>
      <c r="E17" s="8">
        <v>22</v>
      </c>
      <c r="F17" s="8">
        <v>20</v>
      </c>
    </row>
    <row r="18" spans="1:6" x14ac:dyDescent="0.35">
      <c r="A18" s="8" t="s">
        <v>19</v>
      </c>
      <c r="B18" s="8" t="s">
        <v>36</v>
      </c>
      <c r="C18" s="8">
        <v>260.60000000000002</v>
      </c>
      <c r="D18" s="8" t="s">
        <v>48</v>
      </c>
      <c r="E18" s="8">
        <v>22</v>
      </c>
      <c r="F18" s="8">
        <v>58</v>
      </c>
    </row>
    <row r="19" spans="1:6" x14ac:dyDescent="0.35">
      <c r="A19" s="8" t="s">
        <v>23</v>
      </c>
      <c r="B19" s="8" t="s">
        <v>36</v>
      </c>
      <c r="C19" s="8">
        <v>146.47999999999999</v>
      </c>
      <c r="D19" s="8" t="s">
        <v>46</v>
      </c>
      <c r="E19" s="8">
        <v>14</v>
      </c>
      <c r="F19" s="8">
        <v>21</v>
      </c>
    </row>
    <row r="20" spans="1:6" x14ac:dyDescent="0.35">
      <c r="A20" s="8" t="s">
        <v>24</v>
      </c>
      <c r="B20" s="8" t="s">
        <v>42</v>
      </c>
      <c r="C20" s="8">
        <v>821.78</v>
      </c>
      <c r="D20" s="8" t="s">
        <v>48</v>
      </c>
      <c r="E20" s="8">
        <v>22</v>
      </c>
      <c r="F20" s="8">
        <v>184</v>
      </c>
    </row>
    <row r="21" spans="1:6" x14ac:dyDescent="0.35">
      <c r="A21" s="8" t="s">
        <v>19</v>
      </c>
      <c r="B21" s="8" t="s">
        <v>37</v>
      </c>
      <c r="C21" s="8">
        <v>527.29999999999995</v>
      </c>
      <c r="D21" s="8" t="s">
        <v>48</v>
      </c>
      <c r="E21" s="8">
        <v>26</v>
      </c>
      <c r="F21" s="8">
        <v>135</v>
      </c>
    </row>
    <row r="22" spans="1:6" x14ac:dyDescent="0.35">
      <c r="A22" s="8" t="s">
        <v>23</v>
      </c>
      <c r="B22" s="8" t="s">
        <v>37</v>
      </c>
      <c r="C22" s="8">
        <v>208.2</v>
      </c>
      <c r="D22" s="8" t="s">
        <v>48</v>
      </c>
      <c r="E22" s="8">
        <v>7</v>
      </c>
      <c r="F22" s="8">
        <v>15</v>
      </c>
    </row>
    <row r="23" spans="1:6" x14ac:dyDescent="0.35">
      <c r="A23" s="8" t="s">
        <v>24</v>
      </c>
      <c r="B23" s="8" t="s">
        <v>41</v>
      </c>
      <c r="C23" s="8">
        <v>145.19999999999999</v>
      </c>
      <c r="D23" s="8" t="s">
        <v>48</v>
      </c>
      <c r="E23" s="8">
        <v>18</v>
      </c>
      <c r="F23" s="8">
        <v>27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Screening_Parameters</vt:lpstr>
      <vt:lpstr>Table_3_2_Peninsular_Msia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Sheau Chien (GT&amp;C/PT&amp;HSSE)</dc:creator>
  <cp:lastModifiedBy>M Nabiel Izzuddin Radzuan (Dev/Upstream)</cp:lastModifiedBy>
  <dcterms:created xsi:type="dcterms:W3CDTF">2025-10-27T07:21:23Z</dcterms:created>
  <dcterms:modified xsi:type="dcterms:W3CDTF">2026-07-27T01:55:04Z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2025-10-27T10:21:10Z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1f54d4e5-1326-4c11-96bb-3209545671d4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